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s" sheetId="1" state="visible" r:id="rId1"/>
    <sheet name="Scenarios" sheetId="2" state="visible" r:id="rId2"/>
    <sheet name="Sensitivity" sheetId="3" state="visible" r:id="rId3"/>
    <sheet name="Facts" sheetId="4" state="visible" r:id="rId4"/>
    <sheet name="Rents_Comps" sheetId="5" state="visible" r:id="rId5"/>
    <sheet name="Template_Blank" sheetId="6" state="visible" r:id="rId6"/>
    <sheet name="Source_Ledger" sheetId="7" state="visible" r:id="rId7"/>
    <sheet name="Call_Questions" sheetId="8" state="visible" r:id="rId8"/>
  </sheets>
  <definedNames/>
  <calcPr calcId="124519" fullCalcOnLoad="1"/>
</workbook>
</file>

<file path=xl/styles.xml><?xml version="1.0" encoding="utf-8"?>
<styleSheet xmlns="http://schemas.openxmlformats.org/spreadsheetml/2006/main">
  <numFmts count="4">
    <numFmt numFmtId="164" formatCode="$#,##0"/>
    <numFmt numFmtId="165" formatCode="0.0%"/>
    <numFmt numFmtId="166" formatCode="$#,##0;($#,##0)"/>
    <numFmt numFmtId="167" formatCode="$#,##0.00"/>
  </numFmts>
  <fonts count="6">
    <font>
      <name val="Calibri"/>
      <family val="2"/>
      <color theme="1"/>
      <sz val="11"/>
      <scheme val="minor"/>
    </font>
    <font>
      <name val="Arial"/>
      <b val="1"/>
    </font>
    <font>
      <name val="Arial"/>
      <i val="1"/>
    </font>
    <font>
      <name val="Arial"/>
      <b val="1"/>
      <color rgb="00FFFFFF"/>
    </font>
    <font>
      <name val="Arial"/>
    </font>
    <font>
      <name val="Arial"/>
      <color rgb="000000FF"/>
    </font>
  </fonts>
  <fills count="4">
    <fill>
      <patternFill/>
    </fill>
    <fill>
      <patternFill patternType="gray125"/>
    </fill>
    <fill>
      <patternFill patternType="solid">
        <fgColor rgb="001F3864"/>
      </patternFill>
    </fill>
    <fill>
      <patternFill patternType="solid">
        <fgColor rgb="00FFFF00"/>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4" fillId="0" borderId="0" pivotButton="0" quotePrefix="0" xfId="0"/>
    <xf numFmtId="10" fontId="5" fillId="3" borderId="0" pivotButton="0" quotePrefix="0" xfId="0"/>
    <xf numFmtId="0" fontId="4" fillId="0" borderId="0" applyAlignment="1" pivotButton="0" quotePrefix="0" xfId="0">
      <alignment vertical="top" wrapText="1"/>
    </xf>
    <xf numFmtId="0" fontId="5" fillId="3" borderId="0" pivotButton="0" quotePrefix="0" xfId="0"/>
    <xf numFmtId="164" fontId="5" fillId="3" borderId="0" pivotButton="0" quotePrefix="0" xfId="0"/>
    <xf numFmtId="164" fontId="4" fillId="0" borderId="0" pivotButton="0" quotePrefix="0" xfId="0"/>
    <xf numFmtId="165" fontId="4" fillId="0" borderId="0" pivotButton="0" quotePrefix="0" xfId="0"/>
    <xf numFmtId="166" fontId="4" fillId="0" borderId="0" pivotButton="0" quotePrefix="0" xfId="0"/>
    <xf numFmtId="0" fontId="1" fillId="0" borderId="0" applyAlignment="1" pivotButton="0" quotePrefix="0" xfId="0">
      <alignment vertical="top" wrapText="1"/>
    </xf>
    <xf numFmtId="164" fontId="4" fillId="0" borderId="0" applyAlignment="1" pivotButton="0" quotePrefix="0" xfId="0">
      <alignment vertical="top" wrapText="1"/>
    </xf>
    <xf numFmtId="167" fontId="4" fillId="0" borderId="0" applyAlignment="1" pivotButton="0" quotePrefix="0" xfId="0">
      <alignment vertical="top" wrapText="1"/>
    </xf>
    <xf numFmtId="167" fontId="0" fillId="0" borderId="0" pivotButton="0" quotePrefix="0" xfId="0"/>
    <xf numFmtId="0" fontId="5" fillId="3"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46" customWidth="1" min="1" max="1"/>
    <col width="30" customWidth="1" min="2" max="2"/>
    <col width="30" customWidth="1" min="3" max="3"/>
    <col width="30" customWidth="1" min="4" max="4"/>
    <col width="70" customWidth="1" min="5" max="5"/>
  </cols>
  <sheetData>
    <row r="1">
      <c r="A1" s="1" t="inlineStr">
        <is>
          <t>BUYER COST MODEL — INPUTS (edit blue cells on yellow; everything else is a formula)</t>
        </is>
      </c>
    </row>
    <row r="2">
      <c r="A2" s="2" t="inlineStr">
        <is>
          <t>Prepared 2026-10-01 for Taylor Dasch, EG Realty. Illustrative model, NOT a Loan Estimate, not a lender-approved cash-to-close figure.</t>
        </is>
      </c>
    </row>
    <row r="4">
      <c r="A4" s="3" t="inlineStr">
        <is>
          <t>Global assumption</t>
        </is>
      </c>
      <c r="B4" s="3" t="inlineStr">
        <is>
          <t>Value</t>
        </is>
      </c>
      <c r="C4" s="3" t="inlineStr">
        <is>
          <t>Unit</t>
        </is>
      </c>
      <c r="D4" s="3" t="inlineStr">
        <is>
          <t>Status / source</t>
        </is>
      </c>
    </row>
    <row r="5">
      <c r="A5" s="4" t="inlineStr">
        <is>
          <t>Interest rate (30-yr fixed)</t>
        </is>
      </c>
      <c r="B5" s="5" t="n">
        <v>0.06710000000000001</v>
      </c>
      <c r="C5" s="4" t="inlineStr">
        <is>
          <t>% (fraction)</t>
        </is>
      </c>
      <c r="D5" s="6" t="inlineStr">
        <is>
          <t>ILLUSTRATIVE. Freddie Mac PMMS 30-yr FRM average, week of Sept 3, 2026 (latest located Oct 1, 2026). Not a quote. Lender must quote per borrower, property type (2-unit), occupancy and points.</t>
        </is>
      </c>
    </row>
    <row r="6">
      <c r="A6" s="4" t="inlineStr">
        <is>
          <t>Loan term (years)</t>
        </is>
      </c>
      <c r="B6" s="7" t="n">
        <v>30</v>
      </c>
      <c r="C6" s="4" t="inlineStr">
        <is>
          <t>years</t>
        </is>
      </c>
      <c r="D6" s="6" t="inlineStr">
        <is>
          <t>Assumption</t>
        </is>
      </c>
    </row>
    <row r="7">
      <c r="A7" s="4" t="inlineStr">
        <is>
          <t>Scenario A down payment (owner-occupied conventional 2-unit)</t>
        </is>
      </c>
      <c r="B7" s="5" t="n">
        <v>0.05</v>
      </c>
      <c r="C7" s="4" t="inlineStr">
        <is>
          <t>% of price</t>
        </is>
      </c>
      <c r="D7" s="6" t="inlineStr">
        <is>
          <t>Fannie Mae allows 5% down on owner-occupied 2–4 unit (policy effective Nov 2023). Lender must confirm eligibility, MI and reserves.</t>
        </is>
      </c>
    </row>
    <row r="8">
      <c r="A8" s="4" t="inlineStr">
        <is>
          <t>Scenario B down payment (investment conventional 2-unit)</t>
        </is>
      </c>
      <c r="B8" s="5" t="n">
        <v>0.25</v>
      </c>
      <c r="C8" s="4" t="inlineStr">
        <is>
          <t>% of price</t>
        </is>
      </c>
      <c r="D8" s="6" t="inlineStr">
        <is>
          <t>Typical conventional minimum for non-owner-occupied 2–4 unit; lender to confirm.</t>
        </is>
      </c>
    </row>
    <row r="9">
      <c r="A9" s="4" t="inlineStr">
        <is>
          <t>Mortgage insurance, Scenario A (annual % of loan)</t>
        </is>
      </c>
      <c r="B9" s="5" t="n">
        <v>0.0055</v>
      </c>
      <c r="C9" s="4" t="inlineStr">
        <is>
          <t>% (fraction)</t>
        </is>
      </c>
      <c r="D9" s="6" t="inlineStr">
        <is>
          <t>ILLUSTRATIVE placeholder for 95% LTV conventional MI; lender must quote. Set to 0 if LTV ≤ 80%.</t>
        </is>
      </c>
    </row>
    <row r="10">
      <c r="A10" s="4" t="inlineStr">
        <is>
          <t>Homeowners insurance (annual, per property)</t>
        </is>
      </c>
      <c r="B10" s="8" t="n">
        <v>2400</v>
      </c>
      <c r="C10" s="4" t="inlineStr">
        <is>
          <t>$ / yr</t>
        </is>
      </c>
      <c r="D10" s="6" t="inlineStr">
        <is>
          <t>PLACEHOLDER — no quote obtained. Insurer must quote each address (duplex, age of roof, claims history).</t>
        </is>
      </c>
    </row>
    <row r="11">
      <c r="A11" s="4" t="inlineStr">
        <is>
          <t>Flood insurance (annual) — only where lender requires</t>
        </is>
      </c>
      <c r="B11" s="8" t="n">
        <v>0</v>
      </c>
      <c r="C11" s="4" t="inlineStr">
        <is>
          <t>$ / yr</t>
        </is>
      </c>
      <c r="D11" s="6" t="inlineStr">
        <is>
          <t>PLACEHOLDER 0. 2201 Westcliff lot is within 30 m of FEMA Zone AE/floodway (see Facts sheet); if the structure is in the SFHA a lender will require NFIP/private flood coverage. Quote required.</t>
        </is>
      </c>
    </row>
    <row r="12">
      <c r="A12" s="4" t="inlineStr">
        <is>
          <t>Lender + title + other closing costs (% of price)</t>
        </is>
      </c>
      <c r="B12" s="5" t="n">
        <v>0.025</v>
      </c>
      <c r="C12" s="4" t="inlineStr">
        <is>
          <t>% of price</t>
        </is>
      </c>
      <c r="D12" s="6" t="inlineStr">
        <is>
          <t>ILLUSTRATIVE placeholder for lender fees, title policy, endorsements, recording, survey if needed. Replace with lender worksheet.</t>
        </is>
      </c>
    </row>
    <row r="13">
      <c r="A13" s="4" t="inlineStr">
        <is>
          <t>Prepaid interest days</t>
        </is>
      </c>
      <c r="B13" s="7" t="n">
        <v>15</v>
      </c>
      <c r="C13" s="4" t="inlineStr">
        <is>
          <t>days</t>
        </is>
      </c>
      <c r="D13" s="6" t="inlineStr">
        <is>
          <t>Assumption (closing mid-month).</t>
        </is>
      </c>
    </row>
    <row r="14">
      <c r="A14" s="4" t="inlineStr">
        <is>
          <t>Tax escrow months collected at closing</t>
        </is>
      </c>
      <c r="B14" s="7" t="n">
        <v>3</v>
      </c>
      <c r="C14" s="4" t="inlineStr">
        <is>
          <t>months</t>
        </is>
      </c>
      <c r="D14" s="6" t="inlineStr">
        <is>
          <t>Assumption; lender sets.</t>
        </is>
      </c>
    </row>
    <row r="15">
      <c r="A15" s="4" t="inlineStr">
        <is>
          <t>Insurance months collected at closing (12 prepaid + cushion)</t>
        </is>
      </c>
      <c r="B15" s="7" t="n">
        <v>14</v>
      </c>
      <c r="C15" s="4" t="inlineStr">
        <is>
          <t>months</t>
        </is>
      </c>
      <c r="D15" s="6" t="inlineStr">
        <is>
          <t>Assumption; lender sets.</t>
        </is>
      </c>
    </row>
    <row r="16">
      <c r="A16" s="4" t="inlineStr">
        <is>
          <t>Maintenance / capital allowance (annual % of price)</t>
        </is>
      </c>
      <c r="B16" s="5" t="n">
        <v>0.01</v>
      </c>
      <c r="C16" s="4" t="inlineStr">
        <is>
          <t>% of price</t>
        </is>
      </c>
      <c r="D16" s="6" t="inlineStr">
        <is>
          <t>ILLUSTRATIVE allowance shown separately from the payment; not a lender item.</t>
        </is>
      </c>
    </row>
    <row r="17">
      <c r="A17" s="4" t="inlineStr">
        <is>
          <t>Seller contribution scenario (% of price)</t>
        </is>
      </c>
      <c r="B17" s="5" t="n">
        <v>0.03</v>
      </c>
      <c r="C17" s="4" t="inlineStr">
        <is>
          <t>% of price</t>
        </is>
      </c>
      <c r="D17" s="6" t="inlineStr">
        <is>
          <t>PROPOSED, NOT ACCEPTED. Program caps to verify with lender: conventional primary &gt;90% LTV = 3%; investment = 2%; FHA = 6%; VA = 4% concessions (Fannie Mae Selling Guide B3-4.1-02; HUD 4000.1; VA Pamphlet 26-7). Unused credit does not become cash back.</t>
        </is>
      </c>
    </row>
    <row r="18">
      <c r="A18" s="4" t="inlineStr">
        <is>
          <t>Earnest money + option fee already paid (credited at closing)</t>
        </is>
      </c>
      <c r="B18" s="8" t="n">
        <v>0</v>
      </c>
      <c r="C18" s="4" t="inlineStr">
        <is>
          <t>$</t>
        </is>
      </c>
      <c r="D18" s="6" t="inlineStr">
        <is>
          <t>Enter actual amounts once a contract exists; avoids double counting.</t>
        </is>
      </c>
    </row>
    <row r="20">
      <c r="A20" s="1" t="inlineStr">
        <is>
          <t>PROPERTY-SPECIFIC INPUTS (from MLS 360 Property View sheets printed 2026-10-01 unless noted)</t>
        </is>
      </c>
    </row>
    <row r="21">
      <c r="A21" s="3" t="inlineStr">
        <is>
          <t>Field</t>
        </is>
      </c>
      <c r="B21" s="3" t="inlineStr">
        <is>
          <t>3604 Littleleaf Dr, Killeen 76549 (MLS 624332)</t>
        </is>
      </c>
      <c r="C21" s="3" t="inlineStr">
        <is>
          <t>2201 Westcliff Rd, Killeen 76543 (MLS 625203)</t>
        </is>
      </c>
      <c r="D21" s="3" t="inlineStr">
        <is>
          <t>2409 Patrick Henry St, Temple 76504 (MLS 621224)</t>
        </is>
      </c>
      <c r="E21" s="3" t="inlineStr">
        <is>
          <t>Source / status</t>
        </is>
      </c>
    </row>
    <row r="22">
      <c r="A22" s="4" t="inlineStr">
        <is>
          <t>List price ($)</t>
        </is>
      </c>
      <c r="B22" s="8" t="n">
        <v>245000</v>
      </c>
      <c r="C22" s="8" t="n">
        <v>260000</v>
      </c>
      <c r="D22" s="8" t="n">
        <v>219000</v>
      </c>
      <c r="E22" s="6" t="inlineStr">
        <is>
          <t>MLS list price, printed 2026-10-01.</t>
        </is>
      </c>
    </row>
    <row r="23">
      <c r="A23" s="4" t="inlineStr">
        <is>
          <t>Proposed offer price ($) — default = list</t>
        </is>
      </c>
      <c r="B23" s="8" t="n">
        <v>245000</v>
      </c>
      <c r="C23" s="8" t="n">
        <v>260000</v>
      </c>
      <c r="D23" s="8" t="n">
        <v>219000</v>
      </c>
      <c r="E23" s="6" t="inlineStr">
        <is>
          <t>INPUT. No offer has been made; defaults to list. Internal comp review required before choosing.</t>
        </is>
      </c>
    </row>
    <row r="24">
      <c r="A24" s="4" t="inlineStr">
        <is>
          <t>Tax rate (% of taxable value)</t>
        </is>
      </c>
      <c r="B24" s="5" t="n">
        <v>0.0203</v>
      </c>
      <c r="C24" s="5" t="n">
        <v>0.0203</v>
      </c>
      <c r="D24" s="5" t="n">
        <v>0.0239</v>
      </c>
      <c r="E24" s="6" t="inlineStr">
        <is>
          <t>MLS 'Tax Rate' field: 2.03 (tax year 2026) for both Killeen sheets; 2.39 (tax year 2025) for Temple. Verify with Bell CAD / tax office; Bell CAD site was unreachable on 2026-10-01.</t>
        </is>
      </c>
    </row>
    <row r="25">
      <c r="A25" s="4" t="inlineStr">
        <is>
          <t>MLS 'Tax Annl Amt' as listed ($)</t>
        </is>
      </c>
      <c r="B25" s="8" t="n">
        <v>4761</v>
      </c>
      <c r="C25" s="8" t="n">
        <v>5207</v>
      </c>
      <c r="D25" s="8" t="n">
        <v>0</v>
      </c>
      <c r="E25" s="6" t="inlineStr">
        <is>
          <t>Littleleaf $4,761 reflects the CURRENT OWNER'S Homestead exemption (MLS Exemptions: Homestead). Westcliff $5,207 lists no exemption. Patrick Henry field BLANK (entered 0 = unknown, not zero tax).</t>
        </is>
      </c>
    </row>
    <row r="26">
      <c r="A26" s="4" t="inlineStr">
        <is>
          <t>Buyer-treatment taxable value basis ($) — default = offer price</t>
        </is>
      </c>
      <c r="B26" s="8" t="n">
        <v>245000</v>
      </c>
      <c r="C26" s="8" t="n">
        <v>260000</v>
      </c>
      <c r="D26" s="8" t="n">
        <v>219000</v>
      </c>
      <c r="E26" s="6" t="inlineStr">
        <is>
          <t>ASSUMPTION: taxable value reset toward purchase price with no exemption. Bell CAD 2026 appraised values not retrieved. Owner-occupant may qualify for homestead on the occupied unit only (Tex. Tax Code §11.13); CAD to confirm.</t>
        </is>
      </c>
    </row>
    <row r="27">
      <c r="A27" s="4" t="inlineStr">
        <is>
          <t>HOA (annual $)</t>
        </is>
      </c>
      <c r="B27" s="8" t="n">
        <v>0</v>
      </c>
      <c r="C27" s="8" t="n">
        <v>0</v>
      </c>
      <c r="D27" s="8" t="n">
        <v>0</v>
      </c>
      <c r="E27" s="6" t="inlineStr">
        <is>
          <t>MLS: HOA None on all three.</t>
        </is>
      </c>
    </row>
    <row r="28">
      <c r="A28" s="4" t="inlineStr">
        <is>
          <t>Flood insurance required? (1=yes, 0=no, blank=unknown)</t>
        </is>
      </c>
      <c r="B28" s="7" t="n">
        <v>0</v>
      </c>
      <c r="C28" s="7" t="n"/>
      <c r="D28" s="7" t="n">
        <v>0</v>
      </c>
      <c r="E28" s="6" t="inlineStr">
        <is>
          <t>FEMA NFHL check 2026-10-01: Littleleaf and Patrick Henry sites in Zone X minimal hazard; Westcliff lot within 30 m of Zone AE and floodway — structure location vs SFHA UNKNOWN; MLS 'FEMA Flood Plain: Partial'.</t>
        </is>
      </c>
    </row>
    <row r="29">
      <c r="A29" s="4" t="inlineStr">
        <is>
          <t>Unit 1 actual monthly rent ($)</t>
        </is>
      </c>
      <c r="B29" s="8" t="n">
        <v>0</v>
      </c>
      <c r="C29" s="8" t="n">
        <v>895</v>
      </c>
      <c r="D29" s="8" t="n">
        <v>995</v>
      </c>
      <c r="E29" s="6" t="inlineStr">
        <is>
          <t>Littleleaf: both vacant, no rent data. Westcliff: one side month-to-month $895 (MLS). Patrick Henry: one side leased to 02/28/2027 at $995 (MLS). Actual collections not verified.</t>
        </is>
      </c>
    </row>
    <row r="30">
      <c r="A30" s="4" t="inlineStr">
        <is>
          <t>Unit 2 actual monthly rent ($)</t>
        </is>
      </c>
      <c r="B30" s="8" t="n">
        <v>0</v>
      </c>
      <c r="C30" s="8" t="n">
        <v>0</v>
      </c>
      <c r="D30" s="8" t="n">
        <v>0</v>
      </c>
      <c r="E30" s="6" t="inlineStr">
        <is>
          <t>Vacant units: 0 actual. Patrick Henry MLS shows $995 PRO FORMA for the vacant side (not income).</t>
        </is>
      </c>
    </row>
    <row r="31">
      <c r="A31" s="4" t="inlineStr">
        <is>
          <t>Pro forma / asking rent, vacant unit ($) — informational only</t>
        </is>
      </c>
      <c r="B31" s="8" t="n"/>
      <c r="C31" s="8" t="n"/>
      <c r="D31" s="8" t="n">
        <v>995</v>
      </c>
      <c r="E31" s="6" t="inlineStr">
        <is>
          <t>Listing agent's pro forma; not used in payment math.</t>
        </is>
      </c>
    </row>
    <row r="33">
      <c r="A33" s="2" t="inlineStr">
        <is>
          <t>Legend: blue text on yellow = input you may edit. Black = formula or fixed text. Nothing on other sheets is hard-coded.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58" customWidth="1" min="1" max="1"/>
    <col width="22" customWidth="1" min="2" max="2"/>
    <col width="22" customWidth="1" min="3" max="3"/>
    <col width="22" customWidth="1" min="4" max="4"/>
  </cols>
  <sheetData>
    <row r="1">
      <c r="A1" s="1" t="inlineStr">
        <is>
          <t>MONTHLY PAYMENT AND CASH-TO-CLOSE SCENARIOS (all formulas reference Inputs). ILLUSTRATIVE — not a Loan Estimate.</t>
        </is>
      </c>
    </row>
    <row r="3">
      <c r="A3" s="1" t="inlineStr">
        <is>
          <t>SCENARIO A — Owner-occupied conventional, 5% down, with MI (no seller credit)</t>
        </is>
      </c>
      <c r="B3" s="3" t="inlineStr">
        <is>
          <t>3604 Littleleaf (Killeen)</t>
        </is>
      </c>
      <c r="C3" s="3" t="inlineStr">
        <is>
          <t>2201 Westcliff (Killeen)</t>
        </is>
      </c>
      <c r="D3" s="3" t="inlineStr">
        <is>
          <t>2409 Patrick Henry (Temple)</t>
        </is>
      </c>
    </row>
    <row r="4">
      <c r="A4" s="2" t="inlineStr">
        <is>
          <t>Buyer lives in one unit. Littleleaf also allows FHA/VA per MLS; Westcliff and Patrick Henry list Cash/Conventional only.</t>
        </is>
      </c>
    </row>
    <row r="5">
      <c r="A5" s="4" t="inlineStr">
        <is>
          <t>Offer price ($)</t>
        </is>
      </c>
      <c r="B5" s="9">
        <f>Inputs!B23</f>
        <v/>
      </c>
      <c r="C5" s="9">
        <f>Inputs!C23</f>
        <v/>
      </c>
      <c r="D5" s="9">
        <f>Inputs!D23</f>
        <v/>
      </c>
    </row>
    <row r="6">
      <c r="A6" s="4" t="inlineStr">
        <is>
          <t>Down payment (%)</t>
        </is>
      </c>
      <c r="B6" s="10">
        <f>Inputs!$B$7</f>
        <v/>
      </c>
      <c r="C6" s="10">
        <f>Inputs!$B$7</f>
        <v/>
      </c>
      <c r="D6" s="10">
        <f>Inputs!$B$7</f>
        <v/>
      </c>
    </row>
    <row r="7">
      <c r="A7" s="4" t="inlineStr">
        <is>
          <t>Down payment ($)</t>
        </is>
      </c>
      <c r="B7" s="9">
        <f>B5*B6</f>
        <v/>
      </c>
      <c r="C7" s="9">
        <f>C5*C6</f>
        <v/>
      </c>
      <c r="D7" s="9">
        <f>D5*D6</f>
        <v/>
      </c>
    </row>
    <row r="8">
      <c r="A8" s="4" t="inlineStr">
        <is>
          <t>Loan amount ($)</t>
        </is>
      </c>
      <c r="B8" s="9">
        <f>B5-B7</f>
        <v/>
      </c>
      <c r="C8" s="9">
        <f>C5-C7</f>
        <v/>
      </c>
      <c r="D8" s="9">
        <f>D5-D7</f>
        <v/>
      </c>
    </row>
    <row r="9">
      <c r="A9" s="4" t="inlineStr">
        <is>
          <t>Principal &amp; interest ($/mo)</t>
        </is>
      </c>
      <c r="B9" s="9">
        <f>B8*(Inputs!$B$5/12)/(1-(1+Inputs!$B$5/12)^(-Inputs!$B$6*12))</f>
        <v/>
      </c>
      <c r="C9" s="9">
        <f>C8*(Inputs!$B$5/12)/(1-(1+Inputs!$B$5/12)^(-Inputs!$B$6*12))</f>
        <v/>
      </c>
      <c r="D9" s="9">
        <f>D8*(Inputs!$B$5/12)/(1-(1+Inputs!$B$5/12)^(-Inputs!$B$6*12))</f>
        <v/>
      </c>
    </row>
    <row r="10">
      <c r="A10" s="4" t="inlineStr">
        <is>
          <t>Property tax, buyer treatment ($/mo) = basis × rate / 12</t>
        </is>
      </c>
      <c r="B10" s="9">
        <f>Inputs!B26*Inputs!B24/12</f>
        <v/>
      </c>
      <c r="C10" s="9">
        <f>Inputs!C26*Inputs!C24/12</f>
        <v/>
      </c>
      <c r="D10" s="9">
        <f>Inputs!D26*Inputs!D24/12</f>
        <v/>
      </c>
    </row>
    <row r="11">
      <c r="A11" s="4" t="inlineStr">
        <is>
          <t>Property tax per MLS annual amount ($/mo) — comparison only</t>
        </is>
      </c>
      <c r="B11" s="9">
        <f>IF(Inputs!B25=0,"unknown",Inputs!B25/12)</f>
        <v/>
      </c>
      <c r="C11" s="9">
        <f>IF(Inputs!C25=0,"unknown",Inputs!C25/12)</f>
        <v/>
      </c>
      <c r="D11" s="9">
        <f>IF(Inputs!D25=0,"unknown",Inputs!D25/12)</f>
        <v/>
      </c>
    </row>
    <row r="12">
      <c r="A12" s="4" t="inlineStr">
        <is>
          <t>Homeowners insurance ($/mo) — placeholder</t>
        </is>
      </c>
      <c r="B12" s="9">
        <f>Inputs!$B$10/12</f>
        <v/>
      </c>
      <c r="C12" s="9">
        <f>Inputs!$B$10/12</f>
        <v/>
      </c>
      <c r="D12" s="9">
        <f>Inputs!$B$10/12</f>
        <v/>
      </c>
    </row>
    <row r="13">
      <c r="A13" s="4" t="inlineStr">
        <is>
          <t>Flood insurance ($/mo) — if required</t>
        </is>
      </c>
      <c r="B13" s="9">
        <f>IF(Inputs!B28=1,Inputs!$B$11/12,0)</f>
        <v/>
      </c>
      <c r="C13" s="9">
        <f>IF(Inputs!C28=1,Inputs!$B$11/12,0)</f>
        <v/>
      </c>
      <c r="D13" s="9">
        <f>IF(Inputs!D28=1,Inputs!$B$11/12,0)</f>
        <v/>
      </c>
    </row>
    <row r="14">
      <c r="A14" s="4" t="inlineStr">
        <is>
          <t>Mortgage insurance ($/mo)</t>
        </is>
      </c>
      <c r="B14" s="9">
        <f>B8*Inputs!$B$9/12</f>
        <v/>
      </c>
      <c r="C14" s="9">
        <f>C8*Inputs!$B$9/12</f>
        <v/>
      </c>
      <c r="D14" s="9">
        <f>D8*Inputs!$B$9/12</f>
        <v/>
      </c>
    </row>
    <row r="15">
      <c r="A15" s="4" t="inlineStr">
        <is>
          <t>HOA ($/mo)</t>
        </is>
      </c>
      <c r="B15" s="9">
        <f>Inputs!B27/12</f>
        <v/>
      </c>
      <c r="C15" s="9">
        <f>Inputs!C27/12</f>
        <v/>
      </c>
      <c r="D15" s="9">
        <f>Inputs!D27/12</f>
        <v/>
      </c>
    </row>
    <row r="16">
      <c r="A16" s="1" t="inlineStr">
        <is>
          <t>TOTAL MONTHLY PAYMENT (PITI + MI + HOA)</t>
        </is>
      </c>
      <c r="B16" s="9">
        <f>B9+B10+B12+B13+B14+B15</f>
        <v/>
      </c>
      <c r="C16" s="9">
        <f>C9+C10+C12+C13+C14+C15</f>
        <v/>
      </c>
      <c r="D16" s="9">
        <f>D9+D10+D12+D13+D14+D15</f>
        <v/>
      </c>
    </row>
    <row r="17">
      <c r="A17" s="4" t="inlineStr">
        <is>
          <t>Maintenance allowance ($/mo) — separate, illustrative</t>
        </is>
      </c>
      <c r="B17" s="9">
        <f>B5*Inputs!$B$16/12</f>
        <v/>
      </c>
      <c r="C17" s="9">
        <f>C5*Inputs!$B$16/12</f>
        <v/>
      </c>
      <c r="D17" s="9">
        <f>D5*Inputs!$B$16/12</f>
        <v/>
      </c>
    </row>
    <row r="18">
      <c r="A18" s="4" t="inlineStr">
        <is>
          <t>Actual rent in place ($/mo) — signed lease/MTM only</t>
        </is>
      </c>
      <c r="B18" s="9">
        <f>Inputs!B29+Inputs!B30</f>
        <v/>
      </c>
      <c r="C18" s="9">
        <f>Inputs!C29+Inputs!C30</f>
        <v/>
      </c>
      <c r="D18" s="9">
        <f>Inputs!D29+Inputs!D30</f>
        <v/>
      </c>
    </row>
    <row r="19">
      <c r="A19" s="4" t="inlineStr">
        <is>
          <t>Payment less actual rent in place ($/mo)</t>
        </is>
      </c>
      <c r="B19" s="11">
        <f>B16-B18</f>
        <v/>
      </c>
      <c r="C19" s="11">
        <f>C16-C18</f>
        <v/>
      </c>
      <c r="D19" s="11">
        <f>D16-D18</f>
        <v/>
      </c>
    </row>
    <row r="20">
      <c r="A20" s="1" t="inlineStr">
        <is>
          <t>— CASH TO CLOSE —</t>
        </is>
      </c>
    </row>
    <row r="21">
      <c r="A21" s="4" t="inlineStr">
        <is>
          <t>Down payment ($)</t>
        </is>
      </c>
      <c r="B21" s="9">
        <f>B7</f>
        <v/>
      </c>
      <c r="C21" s="9">
        <f>C7</f>
        <v/>
      </c>
      <c r="D21" s="9">
        <f>D7</f>
        <v/>
      </c>
    </row>
    <row r="22">
      <c r="A22" s="4" t="inlineStr">
        <is>
          <t>Lender/title/other closing costs ($) — placeholder %</t>
        </is>
      </c>
      <c r="B22" s="9">
        <f>B5*Inputs!$B$12</f>
        <v/>
      </c>
      <c r="C22" s="9">
        <f>C5*Inputs!$B$12</f>
        <v/>
      </c>
      <c r="D22" s="9">
        <f>D5*Inputs!$B$12</f>
        <v/>
      </c>
    </row>
    <row r="23">
      <c r="A23" s="4" t="inlineStr">
        <is>
          <t>Prepaid interest ($)</t>
        </is>
      </c>
      <c r="B23" s="9">
        <f>B8*Inputs!$B$5/365*Inputs!$B$13</f>
        <v/>
      </c>
      <c r="C23" s="9">
        <f>C8*Inputs!$B$5/365*Inputs!$B$13</f>
        <v/>
      </c>
      <c r="D23" s="9">
        <f>D8*Inputs!$B$5/365*Inputs!$B$13</f>
        <v/>
      </c>
    </row>
    <row r="24">
      <c r="A24" s="4" t="inlineStr">
        <is>
          <t>Tax escrow deposit ($)</t>
        </is>
      </c>
      <c r="B24" s="9">
        <f>B10*Inputs!$B$14</f>
        <v/>
      </c>
      <c r="C24" s="9">
        <f>C10*Inputs!$B$14</f>
        <v/>
      </c>
      <c r="D24" s="9">
        <f>D10*Inputs!$B$14</f>
        <v/>
      </c>
    </row>
    <row r="25">
      <c r="A25" s="4" t="inlineStr">
        <is>
          <t>Insurance prepaid + escrow ($)</t>
        </is>
      </c>
      <c r="B25" s="9">
        <f>(B12+B13)*Inputs!$B$15</f>
        <v/>
      </c>
      <c r="C25" s="9">
        <f>(C12+C13)*Inputs!$B$15</f>
        <v/>
      </c>
      <c r="D25" s="9">
        <f>(D12+D13)*Inputs!$B$15</f>
        <v/>
      </c>
    </row>
    <row r="26">
      <c r="A26" s="4" t="inlineStr">
        <is>
          <t>Subtotal before credits ($)</t>
        </is>
      </c>
      <c r="B26" s="9">
        <f>SUM(B21:B25)</f>
        <v/>
      </c>
      <c r="C26" s="9">
        <f>SUM(C21:C25)</f>
        <v/>
      </c>
      <c r="D26" s="9">
        <f>SUM(D21:D25)</f>
        <v/>
      </c>
    </row>
    <row r="27">
      <c r="A27" s="4" t="inlineStr">
        <is>
          <t>Seller contribution ($) — PROPOSED, capped at non-down-payment costs</t>
        </is>
      </c>
      <c r="B27" s="9">
        <f>0</f>
        <v/>
      </c>
      <c r="C27" s="9">
        <f>0</f>
        <v/>
      </c>
      <c r="D27" s="9">
        <f>0</f>
        <v/>
      </c>
    </row>
    <row r="28">
      <c r="A28" s="4" t="inlineStr">
        <is>
          <t>Earnest/option money already paid ($)</t>
        </is>
      </c>
      <c r="B28" s="9">
        <f>Inputs!$B$18</f>
        <v/>
      </c>
      <c r="C28" s="9">
        <f>Inputs!$B$18</f>
        <v/>
      </c>
      <c r="D28" s="9">
        <f>Inputs!$B$18</f>
        <v/>
      </c>
    </row>
    <row r="29">
      <c r="A29" s="1" t="inlineStr">
        <is>
          <t>ESTIMATED ADDITIONAL CASH DUE AT CLOSING ($)</t>
        </is>
      </c>
      <c r="B29" s="9">
        <f>B26-B27-B28</f>
        <v/>
      </c>
      <c r="C29" s="9">
        <f>C26-C27-C28</f>
        <v/>
      </c>
      <c r="D29" s="9">
        <f>D26-D27-D28</f>
        <v/>
      </c>
    </row>
    <row r="32">
      <c r="A32" s="1" t="inlineStr">
        <is>
          <t>SCENARIO A2 — Same as A, with PROPOSED seller contribution (not accepted)</t>
        </is>
      </c>
      <c r="B32" s="3" t="inlineStr">
        <is>
          <t>3604 Littleleaf (Killeen)</t>
        </is>
      </c>
      <c r="C32" s="3" t="inlineStr">
        <is>
          <t>2201 Westcliff (Killeen)</t>
        </is>
      </c>
      <c r="D32" s="3" t="inlineStr">
        <is>
          <t>2409 Patrick Henry (Temple)</t>
        </is>
      </c>
    </row>
    <row r="33">
      <c r="A33" s="2" t="inlineStr">
        <is>
          <t>Identical assumptions to A; only the proposed seller credit differs. Program cap must be verified by lender.</t>
        </is>
      </c>
    </row>
    <row r="34">
      <c r="A34" s="4" t="inlineStr">
        <is>
          <t>Offer price ($)</t>
        </is>
      </c>
      <c r="B34" s="9">
        <f>Inputs!B23</f>
        <v/>
      </c>
      <c r="C34" s="9">
        <f>Inputs!C23</f>
        <v/>
      </c>
      <c r="D34" s="9">
        <f>Inputs!D23</f>
        <v/>
      </c>
    </row>
    <row r="35">
      <c r="A35" s="4" t="inlineStr">
        <is>
          <t>Down payment (%)</t>
        </is>
      </c>
      <c r="B35" s="10">
        <f>Inputs!$B$7</f>
        <v/>
      </c>
      <c r="C35" s="10">
        <f>Inputs!$B$7</f>
        <v/>
      </c>
      <c r="D35" s="10">
        <f>Inputs!$B$7</f>
        <v/>
      </c>
    </row>
    <row r="36">
      <c r="A36" s="4" t="inlineStr">
        <is>
          <t>Down payment ($)</t>
        </is>
      </c>
      <c r="B36" s="9">
        <f>B34*B35</f>
        <v/>
      </c>
      <c r="C36" s="9">
        <f>C34*C35</f>
        <v/>
      </c>
      <c r="D36" s="9">
        <f>D34*D35</f>
        <v/>
      </c>
    </row>
    <row r="37">
      <c r="A37" s="4" t="inlineStr">
        <is>
          <t>Loan amount ($)</t>
        </is>
      </c>
      <c r="B37" s="9">
        <f>B34-B36</f>
        <v/>
      </c>
      <c r="C37" s="9">
        <f>C34-C36</f>
        <v/>
      </c>
      <c r="D37" s="9">
        <f>D34-D36</f>
        <v/>
      </c>
    </row>
    <row r="38">
      <c r="A38" s="4" t="inlineStr">
        <is>
          <t>Principal &amp; interest ($/mo)</t>
        </is>
      </c>
      <c r="B38" s="9">
        <f>B37*(Inputs!$B$5/12)/(1-(1+Inputs!$B$5/12)^(-Inputs!$B$6*12))</f>
        <v/>
      </c>
      <c r="C38" s="9">
        <f>C37*(Inputs!$B$5/12)/(1-(1+Inputs!$B$5/12)^(-Inputs!$B$6*12))</f>
        <v/>
      </c>
      <c r="D38" s="9">
        <f>D37*(Inputs!$B$5/12)/(1-(1+Inputs!$B$5/12)^(-Inputs!$B$6*12))</f>
        <v/>
      </c>
    </row>
    <row r="39">
      <c r="A39" s="4" t="inlineStr">
        <is>
          <t>Property tax, buyer treatment ($/mo) = basis × rate / 12</t>
        </is>
      </c>
      <c r="B39" s="9">
        <f>Inputs!B26*Inputs!B24/12</f>
        <v/>
      </c>
      <c r="C39" s="9">
        <f>Inputs!C26*Inputs!C24/12</f>
        <v/>
      </c>
      <c r="D39" s="9">
        <f>Inputs!D26*Inputs!D24/12</f>
        <v/>
      </c>
    </row>
    <row r="40">
      <c r="A40" s="4" t="inlineStr">
        <is>
          <t>Property tax per MLS annual amount ($/mo) — comparison only</t>
        </is>
      </c>
      <c r="B40" s="9">
        <f>IF(Inputs!B25=0,"unknown",Inputs!B25/12)</f>
        <v/>
      </c>
      <c r="C40" s="9">
        <f>IF(Inputs!C25=0,"unknown",Inputs!C25/12)</f>
        <v/>
      </c>
      <c r="D40" s="9">
        <f>IF(Inputs!D25=0,"unknown",Inputs!D25/12)</f>
        <v/>
      </c>
    </row>
    <row r="41">
      <c r="A41" s="4" t="inlineStr">
        <is>
          <t>Homeowners insurance ($/mo) — placeholder</t>
        </is>
      </c>
      <c r="B41" s="9">
        <f>Inputs!$B$10/12</f>
        <v/>
      </c>
      <c r="C41" s="9">
        <f>Inputs!$B$10/12</f>
        <v/>
      </c>
      <c r="D41" s="9">
        <f>Inputs!$B$10/12</f>
        <v/>
      </c>
    </row>
    <row r="42">
      <c r="A42" s="4" t="inlineStr">
        <is>
          <t>Flood insurance ($/mo) — if required</t>
        </is>
      </c>
      <c r="B42" s="9">
        <f>IF(Inputs!B28=1,Inputs!$B$11/12,0)</f>
        <v/>
      </c>
      <c r="C42" s="9">
        <f>IF(Inputs!C28=1,Inputs!$B$11/12,0)</f>
        <v/>
      </c>
      <c r="D42" s="9">
        <f>IF(Inputs!D28=1,Inputs!$B$11/12,0)</f>
        <v/>
      </c>
    </row>
    <row r="43">
      <c r="A43" s="4" t="inlineStr">
        <is>
          <t>Mortgage insurance ($/mo)</t>
        </is>
      </c>
      <c r="B43" s="9">
        <f>B37*Inputs!$B$9/12</f>
        <v/>
      </c>
      <c r="C43" s="9">
        <f>C37*Inputs!$B$9/12</f>
        <v/>
      </c>
      <c r="D43" s="9">
        <f>D37*Inputs!$B$9/12</f>
        <v/>
      </c>
    </row>
    <row r="44">
      <c r="A44" s="4" t="inlineStr">
        <is>
          <t>HOA ($/mo)</t>
        </is>
      </c>
      <c r="B44" s="9">
        <f>Inputs!B27/12</f>
        <v/>
      </c>
      <c r="C44" s="9">
        <f>Inputs!C27/12</f>
        <v/>
      </c>
      <c r="D44" s="9">
        <f>Inputs!D27/12</f>
        <v/>
      </c>
    </row>
    <row r="45">
      <c r="A45" s="1" t="inlineStr">
        <is>
          <t>TOTAL MONTHLY PAYMENT (PITI + MI + HOA)</t>
        </is>
      </c>
      <c r="B45" s="9">
        <f>B38+B39+B41+B42+B43+B44</f>
        <v/>
      </c>
      <c r="C45" s="9">
        <f>C38+C39+C41+C42+C43+C44</f>
        <v/>
      </c>
      <c r="D45" s="9">
        <f>D38+D39+D41+D42+D43+D44</f>
        <v/>
      </c>
    </row>
    <row r="46">
      <c r="A46" s="4" t="inlineStr">
        <is>
          <t>Maintenance allowance ($/mo) — separate, illustrative</t>
        </is>
      </c>
      <c r="B46" s="9">
        <f>B34*Inputs!$B$16/12</f>
        <v/>
      </c>
      <c r="C46" s="9">
        <f>C34*Inputs!$B$16/12</f>
        <v/>
      </c>
      <c r="D46" s="9">
        <f>D34*Inputs!$B$16/12</f>
        <v/>
      </c>
    </row>
    <row r="47">
      <c r="A47" s="4" t="inlineStr">
        <is>
          <t>Actual rent in place ($/mo) — signed lease/MTM only</t>
        </is>
      </c>
      <c r="B47" s="9">
        <f>Inputs!B29+Inputs!B30</f>
        <v/>
      </c>
      <c r="C47" s="9">
        <f>Inputs!C29+Inputs!C30</f>
        <v/>
      </c>
      <c r="D47" s="9">
        <f>Inputs!D29+Inputs!D30</f>
        <v/>
      </c>
    </row>
    <row r="48">
      <c r="A48" s="4" t="inlineStr">
        <is>
          <t>Payment less actual rent in place ($/mo)</t>
        </is>
      </c>
      <c r="B48" s="11">
        <f>B45-B47</f>
        <v/>
      </c>
      <c r="C48" s="11">
        <f>C45-C47</f>
        <v/>
      </c>
      <c r="D48" s="11">
        <f>D45-D47</f>
        <v/>
      </c>
    </row>
    <row r="49">
      <c r="A49" s="1" t="inlineStr">
        <is>
          <t>— CASH TO CLOSE —</t>
        </is>
      </c>
    </row>
    <row r="50">
      <c r="A50" s="4" t="inlineStr">
        <is>
          <t>Down payment ($)</t>
        </is>
      </c>
      <c r="B50" s="9">
        <f>B36</f>
        <v/>
      </c>
      <c r="C50" s="9">
        <f>C36</f>
        <v/>
      </c>
      <c r="D50" s="9">
        <f>D36</f>
        <v/>
      </c>
    </row>
    <row r="51">
      <c r="A51" s="4" t="inlineStr">
        <is>
          <t>Lender/title/other closing costs ($) — placeholder %</t>
        </is>
      </c>
      <c r="B51" s="9">
        <f>B34*Inputs!$B$12</f>
        <v/>
      </c>
      <c r="C51" s="9">
        <f>C34*Inputs!$B$12</f>
        <v/>
      </c>
      <c r="D51" s="9">
        <f>D34*Inputs!$B$12</f>
        <v/>
      </c>
    </row>
    <row r="52">
      <c r="A52" s="4" t="inlineStr">
        <is>
          <t>Prepaid interest ($)</t>
        </is>
      </c>
      <c r="B52" s="9">
        <f>B37*Inputs!$B$5/365*Inputs!$B$13</f>
        <v/>
      </c>
      <c r="C52" s="9">
        <f>C37*Inputs!$B$5/365*Inputs!$B$13</f>
        <v/>
      </c>
      <c r="D52" s="9">
        <f>D37*Inputs!$B$5/365*Inputs!$B$13</f>
        <v/>
      </c>
    </row>
    <row r="53">
      <c r="A53" s="4" t="inlineStr">
        <is>
          <t>Tax escrow deposit ($)</t>
        </is>
      </c>
      <c r="B53" s="9">
        <f>B39*Inputs!$B$14</f>
        <v/>
      </c>
      <c r="C53" s="9">
        <f>C39*Inputs!$B$14</f>
        <v/>
      </c>
      <c r="D53" s="9">
        <f>D39*Inputs!$B$14</f>
        <v/>
      </c>
    </row>
    <row r="54">
      <c r="A54" s="4" t="inlineStr">
        <is>
          <t>Insurance prepaid + escrow ($)</t>
        </is>
      </c>
      <c r="B54" s="9">
        <f>(B41+B42)*Inputs!$B$15</f>
        <v/>
      </c>
      <c r="C54" s="9">
        <f>(C41+C42)*Inputs!$B$15</f>
        <v/>
      </c>
      <c r="D54" s="9">
        <f>(D41+D42)*Inputs!$B$15</f>
        <v/>
      </c>
    </row>
    <row r="55">
      <c r="A55" s="4" t="inlineStr">
        <is>
          <t>Subtotal before credits ($)</t>
        </is>
      </c>
      <c r="B55" s="9">
        <f>SUM(B50:B54)</f>
        <v/>
      </c>
      <c r="C55" s="9">
        <f>SUM(C50:C54)</f>
        <v/>
      </c>
      <c r="D55" s="9">
        <f>SUM(D50:D54)</f>
        <v/>
      </c>
    </row>
    <row r="56">
      <c r="A56" s="4" t="inlineStr">
        <is>
          <t>Seller contribution ($) — PROPOSED, capped at non-down-payment costs</t>
        </is>
      </c>
      <c r="B56" s="9">
        <f>MIN(B34*Inputs!$B$17,B55-B50)</f>
        <v/>
      </c>
      <c r="C56" s="9">
        <f>MIN(C34*Inputs!$B$17,C55-C50)</f>
        <v/>
      </c>
      <c r="D56" s="9">
        <f>MIN(D34*Inputs!$B$17,D55-D50)</f>
        <v/>
      </c>
    </row>
    <row r="57">
      <c r="A57" s="4" t="inlineStr">
        <is>
          <t>Earnest/option money already paid ($)</t>
        </is>
      </c>
      <c r="B57" s="9">
        <f>Inputs!$B$18</f>
        <v/>
      </c>
      <c r="C57" s="9">
        <f>Inputs!$B$18</f>
        <v/>
      </c>
      <c r="D57" s="9">
        <f>Inputs!$B$18</f>
        <v/>
      </c>
    </row>
    <row r="58">
      <c r="A58" s="1" t="inlineStr">
        <is>
          <t>ESTIMATED ADDITIONAL CASH DUE AT CLOSING ($)</t>
        </is>
      </c>
      <c r="B58" s="9">
        <f>B55-B56-B57</f>
        <v/>
      </c>
      <c r="C58" s="9">
        <f>C55-C56-C57</f>
        <v/>
      </c>
      <c r="D58" s="9">
        <f>D55-D56-D57</f>
        <v/>
      </c>
    </row>
    <row r="61">
      <c r="A61" s="1" t="inlineStr">
        <is>
          <t>SCENARIO B — Investment conventional, 25% down, no MI (no seller credit)</t>
        </is>
      </c>
      <c r="B61" s="3" t="inlineStr">
        <is>
          <t>3604 Littleleaf (Killeen)</t>
        </is>
      </c>
      <c r="C61" s="3" t="inlineStr">
        <is>
          <t>2201 Westcliff (Killeen)</t>
        </is>
      </c>
      <c r="D61" s="3" t="inlineStr">
        <is>
          <t>2409 Patrick Henry (Temple)</t>
        </is>
      </c>
    </row>
    <row r="62">
      <c r="A62" s="2" t="inlineStr">
        <is>
          <t>Buyer does not occupy. FHA/VA not available for non-owner-occupied. Investment IPC cap is typically 2%.</t>
        </is>
      </c>
    </row>
    <row r="63">
      <c r="A63" s="4" t="inlineStr">
        <is>
          <t>Offer price ($)</t>
        </is>
      </c>
      <c r="B63" s="9">
        <f>Inputs!B23</f>
        <v/>
      </c>
      <c r="C63" s="9">
        <f>Inputs!C23</f>
        <v/>
      </c>
      <c r="D63" s="9">
        <f>Inputs!D23</f>
        <v/>
      </c>
    </row>
    <row r="64">
      <c r="A64" s="4" t="inlineStr">
        <is>
          <t>Down payment (%)</t>
        </is>
      </c>
      <c r="B64" s="10">
        <f>Inputs!$B$8</f>
        <v/>
      </c>
      <c r="C64" s="10">
        <f>Inputs!$B$8</f>
        <v/>
      </c>
      <c r="D64" s="10">
        <f>Inputs!$B$8</f>
        <v/>
      </c>
    </row>
    <row r="65">
      <c r="A65" s="4" t="inlineStr">
        <is>
          <t>Down payment ($)</t>
        </is>
      </c>
      <c r="B65" s="9">
        <f>B63*B64</f>
        <v/>
      </c>
      <c r="C65" s="9">
        <f>C63*C64</f>
        <v/>
      </c>
      <c r="D65" s="9">
        <f>D63*D64</f>
        <v/>
      </c>
    </row>
    <row r="66">
      <c r="A66" s="4" t="inlineStr">
        <is>
          <t>Loan amount ($)</t>
        </is>
      </c>
      <c r="B66" s="9">
        <f>B63-B65</f>
        <v/>
      </c>
      <c r="C66" s="9">
        <f>C63-C65</f>
        <v/>
      </c>
      <c r="D66" s="9">
        <f>D63-D65</f>
        <v/>
      </c>
    </row>
    <row r="67">
      <c r="A67" s="4" t="inlineStr">
        <is>
          <t>Principal &amp; interest ($/mo)</t>
        </is>
      </c>
      <c r="B67" s="9">
        <f>B66*(Inputs!$B$5/12)/(1-(1+Inputs!$B$5/12)^(-Inputs!$B$6*12))</f>
        <v/>
      </c>
      <c r="C67" s="9">
        <f>C66*(Inputs!$B$5/12)/(1-(1+Inputs!$B$5/12)^(-Inputs!$B$6*12))</f>
        <v/>
      </c>
      <c r="D67" s="9">
        <f>D66*(Inputs!$B$5/12)/(1-(1+Inputs!$B$5/12)^(-Inputs!$B$6*12))</f>
        <v/>
      </c>
    </row>
    <row r="68">
      <c r="A68" s="4" t="inlineStr">
        <is>
          <t>Property tax, buyer treatment ($/mo) = basis × rate / 12</t>
        </is>
      </c>
      <c r="B68" s="9">
        <f>Inputs!B26*Inputs!B24/12</f>
        <v/>
      </c>
      <c r="C68" s="9">
        <f>Inputs!C26*Inputs!C24/12</f>
        <v/>
      </c>
      <c r="D68" s="9">
        <f>Inputs!D26*Inputs!D24/12</f>
        <v/>
      </c>
    </row>
    <row r="69">
      <c r="A69" s="4" t="inlineStr">
        <is>
          <t>Property tax per MLS annual amount ($/mo) — comparison only</t>
        </is>
      </c>
      <c r="B69" s="9">
        <f>IF(Inputs!B25=0,"unknown",Inputs!B25/12)</f>
        <v/>
      </c>
      <c r="C69" s="9">
        <f>IF(Inputs!C25=0,"unknown",Inputs!C25/12)</f>
        <v/>
      </c>
      <c r="D69" s="9">
        <f>IF(Inputs!D25=0,"unknown",Inputs!D25/12)</f>
        <v/>
      </c>
    </row>
    <row r="70">
      <c r="A70" s="4" t="inlineStr">
        <is>
          <t>Homeowners insurance ($/mo) — placeholder</t>
        </is>
      </c>
      <c r="B70" s="9">
        <f>Inputs!$B$10/12</f>
        <v/>
      </c>
      <c r="C70" s="9">
        <f>Inputs!$B$10/12</f>
        <v/>
      </c>
      <c r="D70" s="9">
        <f>Inputs!$B$10/12</f>
        <v/>
      </c>
    </row>
    <row r="71">
      <c r="A71" s="4" t="inlineStr">
        <is>
          <t>Flood insurance ($/mo) — if required</t>
        </is>
      </c>
      <c r="B71" s="9">
        <f>IF(Inputs!B28=1,Inputs!$B$11/12,0)</f>
        <v/>
      </c>
      <c r="C71" s="9">
        <f>IF(Inputs!C28=1,Inputs!$B$11/12,0)</f>
        <v/>
      </c>
      <c r="D71" s="9">
        <f>IF(Inputs!D28=1,Inputs!$B$11/12,0)</f>
        <v/>
      </c>
    </row>
    <row r="72">
      <c r="A72" s="4" t="inlineStr">
        <is>
          <t>Mortgage insurance ($/mo)</t>
        </is>
      </c>
      <c r="B72" s="9">
        <f>0</f>
        <v/>
      </c>
      <c r="C72" s="9">
        <f>0</f>
        <v/>
      </c>
      <c r="D72" s="9">
        <f>0</f>
        <v/>
      </c>
    </row>
    <row r="73">
      <c r="A73" s="4" t="inlineStr">
        <is>
          <t>HOA ($/mo)</t>
        </is>
      </c>
      <c r="B73" s="9">
        <f>Inputs!B27/12</f>
        <v/>
      </c>
      <c r="C73" s="9">
        <f>Inputs!C27/12</f>
        <v/>
      </c>
      <c r="D73" s="9">
        <f>Inputs!D27/12</f>
        <v/>
      </c>
    </row>
    <row r="74">
      <c r="A74" s="1" t="inlineStr">
        <is>
          <t>TOTAL MONTHLY PAYMENT (PITI + MI + HOA)</t>
        </is>
      </c>
      <c r="B74" s="9">
        <f>B67+B68+B70+B71+B72+B73</f>
        <v/>
      </c>
      <c r="C74" s="9">
        <f>C67+C68+C70+C71+C72+C73</f>
        <v/>
      </c>
      <c r="D74" s="9">
        <f>D67+D68+D70+D71+D72+D73</f>
        <v/>
      </c>
    </row>
    <row r="75">
      <c r="A75" s="4" t="inlineStr">
        <is>
          <t>Maintenance allowance ($/mo) — separate, illustrative</t>
        </is>
      </c>
      <c r="B75" s="9">
        <f>B63*Inputs!$B$16/12</f>
        <v/>
      </c>
      <c r="C75" s="9">
        <f>C63*Inputs!$B$16/12</f>
        <v/>
      </c>
      <c r="D75" s="9">
        <f>D63*Inputs!$B$16/12</f>
        <v/>
      </c>
    </row>
    <row r="76">
      <c r="A76" s="4" t="inlineStr">
        <is>
          <t>Actual rent in place ($/mo) — signed lease/MTM only</t>
        </is>
      </c>
      <c r="B76" s="9">
        <f>Inputs!B29+Inputs!B30</f>
        <v/>
      </c>
      <c r="C76" s="9">
        <f>Inputs!C29+Inputs!C30</f>
        <v/>
      </c>
      <c r="D76" s="9">
        <f>Inputs!D29+Inputs!D30</f>
        <v/>
      </c>
    </row>
    <row r="77">
      <c r="A77" s="4" t="inlineStr">
        <is>
          <t>Payment less actual rent in place ($/mo)</t>
        </is>
      </c>
      <c r="B77" s="11">
        <f>B74-B76</f>
        <v/>
      </c>
      <c r="C77" s="11">
        <f>C74-C76</f>
        <v/>
      </c>
      <c r="D77" s="11">
        <f>D74-D76</f>
        <v/>
      </c>
    </row>
    <row r="78">
      <c r="A78" s="1" t="inlineStr">
        <is>
          <t>— CASH TO CLOSE —</t>
        </is>
      </c>
    </row>
    <row r="79">
      <c r="A79" s="4" t="inlineStr">
        <is>
          <t>Down payment ($)</t>
        </is>
      </c>
      <c r="B79" s="9">
        <f>B65</f>
        <v/>
      </c>
      <c r="C79" s="9">
        <f>C65</f>
        <v/>
      </c>
      <c r="D79" s="9">
        <f>D65</f>
        <v/>
      </c>
    </row>
    <row r="80">
      <c r="A80" s="4" t="inlineStr">
        <is>
          <t>Lender/title/other closing costs ($) — placeholder %</t>
        </is>
      </c>
      <c r="B80" s="9">
        <f>B63*Inputs!$B$12</f>
        <v/>
      </c>
      <c r="C80" s="9">
        <f>C63*Inputs!$B$12</f>
        <v/>
      </c>
      <c r="D80" s="9">
        <f>D63*Inputs!$B$12</f>
        <v/>
      </c>
    </row>
    <row r="81">
      <c r="A81" s="4" t="inlineStr">
        <is>
          <t>Prepaid interest ($)</t>
        </is>
      </c>
      <c r="B81" s="9">
        <f>B66*Inputs!$B$5/365*Inputs!$B$13</f>
        <v/>
      </c>
      <c r="C81" s="9">
        <f>C66*Inputs!$B$5/365*Inputs!$B$13</f>
        <v/>
      </c>
      <c r="D81" s="9">
        <f>D66*Inputs!$B$5/365*Inputs!$B$13</f>
        <v/>
      </c>
    </row>
    <row r="82">
      <c r="A82" s="4" t="inlineStr">
        <is>
          <t>Tax escrow deposit ($)</t>
        </is>
      </c>
      <c r="B82" s="9">
        <f>B68*Inputs!$B$14</f>
        <v/>
      </c>
      <c r="C82" s="9">
        <f>C68*Inputs!$B$14</f>
        <v/>
      </c>
      <c r="D82" s="9">
        <f>D68*Inputs!$B$14</f>
        <v/>
      </c>
    </row>
    <row r="83">
      <c r="A83" s="4" t="inlineStr">
        <is>
          <t>Insurance prepaid + escrow ($)</t>
        </is>
      </c>
      <c r="B83" s="9">
        <f>(B70+B71)*Inputs!$B$15</f>
        <v/>
      </c>
      <c r="C83" s="9">
        <f>(C70+C71)*Inputs!$B$15</f>
        <v/>
      </c>
      <c r="D83" s="9">
        <f>(D70+D71)*Inputs!$B$15</f>
        <v/>
      </c>
    </row>
    <row r="84">
      <c r="A84" s="4" t="inlineStr">
        <is>
          <t>Subtotal before credits ($)</t>
        </is>
      </c>
      <c r="B84" s="9">
        <f>SUM(B79:B83)</f>
        <v/>
      </c>
      <c r="C84" s="9">
        <f>SUM(C79:C83)</f>
        <v/>
      </c>
      <c r="D84" s="9">
        <f>SUM(D79:D83)</f>
        <v/>
      </c>
    </row>
    <row r="85">
      <c r="A85" s="4" t="inlineStr">
        <is>
          <t>Seller contribution ($) — PROPOSED, capped at non-down-payment costs</t>
        </is>
      </c>
      <c r="B85" s="9">
        <f>0</f>
        <v/>
      </c>
      <c r="C85" s="9">
        <f>0</f>
        <v/>
      </c>
      <c r="D85" s="9">
        <f>0</f>
        <v/>
      </c>
    </row>
    <row r="86">
      <c r="A86" s="4" t="inlineStr">
        <is>
          <t>Earnest/option money already paid ($)</t>
        </is>
      </c>
      <c r="B86" s="9">
        <f>Inputs!$B$18</f>
        <v/>
      </c>
      <c r="C86" s="9">
        <f>Inputs!$B$18</f>
        <v/>
      </c>
      <c r="D86" s="9">
        <f>Inputs!$B$18</f>
        <v/>
      </c>
    </row>
    <row r="87">
      <c r="A87" s="1" t="inlineStr">
        <is>
          <t>ESTIMATED ADDITIONAL CASH DUE AT CLOSING ($)</t>
        </is>
      </c>
      <c r="B87" s="9">
        <f>B84-B85-B86</f>
        <v/>
      </c>
      <c r="C87" s="9">
        <f>C84-C85-C86</f>
        <v/>
      </c>
      <c r="D87" s="9">
        <f>D84-D85-D86</f>
        <v/>
      </c>
    </row>
    <row r="90">
      <c r="A90" s="2" t="inlineStr">
        <is>
          <t>Formulas: P&amp;I = loan × (rate/12) ÷ (1 − (1 + rate/12)^(−term×12)), identical to -PMT(rate/12, term×12, loan). Tax = taxable basis × rate ÷ 12. Prepaid interest = loan × rate ÷ 365 × days. Seller credit = MIN(price × %, closing costs + prepaids) so it never offsets down payment or becomes cash back.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0" customWidth="1" min="1" max="1"/>
    <col width="22" customWidth="1" min="2" max="2"/>
    <col width="22" customWidth="1" min="3" max="3"/>
    <col width="22" customWidth="1" min="4" max="4"/>
  </cols>
  <sheetData>
    <row r="1">
      <c r="A1" s="1" t="inlineStr">
        <is>
          <t>SENSITIVITY — Scenario A total monthly payment under alternative rate, tax and insurance inputs (formulas)</t>
        </is>
      </c>
    </row>
    <row r="3">
      <c r="A3" s="3" t="inlineStr">
        <is>
          <t>Case</t>
        </is>
      </c>
      <c r="B3" s="3" t="inlineStr">
        <is>
          <t>3604 Littleleaf</t>
        </is>
      </c>
      <c r="C3" s="3" t="inlineStr">
        <is>
          <t>2201 Westcliff</t>
        </is>
      </c>
      <c r="D3" s="3" t="inlineStr">
        <is>
          <t>2409 Patrick Henry</t>
        </is>
      </c>
    </row>
    <row r="4">
      <c r="A4" s="4" t="inlineStr">
        <is>
          <t>Base (Inputs as entered)</t>
        </is>
      </c>
      <c r="B4" s="9">
        <f>Scenarios!B8*((Inputs!$B$5+(0))/12)/(1-(1+(Inputs!$B$5+(0))/12)^(-Inputs!$B$6*12))+Inputs!B26*Inputs!B24*1/12+Inputs!$B$10*1/12+IF(Inputs!B28=1,Inputs!$B$11/12,0)+Scenarios!B8*Inputs!$B$9/12+Inputs!B27/12</f>
        <v/>
      </c>
      <c r="C4" s="9">
        <f>Scenarios!C8*((Inputs!$B$5+(0))/12)/(1-(1+(Inputs!$B$5+(0))/12)^(-Inputs!$B$6*12))+Inputs!C26*Inputs!C24*1/12+Inputs!$B$10*1/12+IF(Inputs!C28=1,Inputs!$B$11/12,0)+Scenarios!C8*Inputs!$B$9/12+Inputs!C27/12</f>
        <v/>
      </c>
      <c r="D4" s="9">
        <f>Scenarios!D8*((Inputs!$B$5+(0))/12)/(1-(1+(Inputs!$B$5+(0))/12)^(-Inputs!$B$6*12))+Inputs!D26*Inputs!D24*1/12+Inputs!$B$10*1/12+IF(Inputs!D28=1,Inputs!$B$11/12,0)+Scenarios!D8*Inputs!$B$9/12+Inputs!D27/12</f>
        <v/>
      </c>
    </row>
    <row r="5">
      <c r="A5" s="4" t="inlineStr">
        <is>
          <t>Rate +0.50 pt</t>
        </is>
      </c>
      <c r="B5" s="9">
        <f>Scenarios!B8*((Inputs!$B$5+(0.005))/12)/(1-(1+(Inputs!$B$5+(0.005))/12)^(-Inputs!$B$6*12))+Inputs!B26*Inputs!B24*1/12+Inputs!$B$10*1/12+IF(Inputs!B28=1,Inputs!$B$11/12,0)+Scenarios!B8*Inputs!$B$9/12+Inputs!B27/12</f>
        <v/>
      </c>
      <c r="C5" s="9">
        <f>Scenarios!C8*((Inputs!$B$5+(0.005))/12)/(1-(1+(Inputs!$B$5+(0.005))/12)^(-Inputs!$B$6*12))+Inputs!C26*Inputs!C24*1/12+Inputs!$B$10*1/12+IF(Inputs!C28=1,Inputs!$B$11/12,0)+Scenarios!C8*Inputs!$B$9/12+Inputs!C27/12</f>
        <v/>
      </c>
      <c r="D5" s="9">
        <f>Scenarios!D8*((Inputs!$B$5+(0.005))/12)/(1-(1+(Inputs!$B$5+(0.005))/12)^(-Inputs!$B$6*12))+Inputs!D26*Inputs!D24*1/12+Inputs!$B$10*1/12+IF(Inputs!D28=1,Inputs!$B$11/12,0)+Scenarios!D8*Inputs!$B$9/12+Inputs!D27/12</f>
        <v/>
      </c>
    </row>
    <row r="6">
      <c r="A6" s="4" t="inlineStr">
        <is>
          <t>Rate −0.50 pt</t>
        </is>
      </c>
      <c r="B6" s="9">
        <f>Scenarios!B8*((Inputs!$B$5+(-0.005))/12)/(1-(1+(Inputs!$B$5+(-0.005))/12)^(-Inputs!$B$6*12))+Inputs!B26*Inputs!B24*1/12+Inputs!$B$10*1/12+IF(Inputs!B28=1,Inputs!$B$11/12,0)+Scenarios!B8*Inputs!$B$9/12+Inputs!B27/12</f>
        <v/>
      </c>
      <c r="C6" s="9">
        <f>Scenarios!C8*((Inputs!$B$5+(-0.005))/12)/(1-(1+(Inputs!$B$5+(-0.005))/12)^(-Inputs!$B$6*12))+Inputs!C26*Inputs!C24*1/12+Inputs!$B$10*1/12+IF(Inputs!C28=1,Inputs!$B$11/12,0)+Scenarios!C8*Inputs!$B$9/12+Inputs!C27/12</f>
        <v/>
      </c>
      <c r="D6" s="9">
        <f>Scenarios!D8*((Inputs!$B$5+(-0.005))/12)/(1-(1+(Inputs!$B$5+(-0.005))/12)^(-Inputs!$B$6*12))+Inputs!D26*Inputs!D24*1/12+Inputs!$B$10*1/12+IF(Inputs!D28=1,Inputs!$B$11/12,0)+Scenarios!D8*Inputs!$B$9/12+Inputs!D27/12</f>
        <v/>
      </c>
    </row>
    <row r="7">
      <c r="A7" s="4" t="inlineStr">
        <is>
          <t>Tax basis +10%</t>
        </is>
      </c>
      <c r="B7" s="9">
        <f>Scenarios!B8*((Inputs!$B$5+(0))/12)/(1-(1+(Inputs!$B$5+(0))/12)^(-Inputs!$B$6*12))+Inputs!B26*Inputs!B24*1.1/12+Inputs!$B$10*1/12+IF(Inputs!B28=1,Inputs!$B$11/12,0)+Scenarios!B8*Inputs!$B$9/12+Inputs!B27/12</f>
        <v/>
      </c>
      <c r="C7" s="9">
        <f>Scenarios!C8*((Inputs!$B$5+(0))/12)/(1-(1+(Inputs!$B$5+(0))/12)^(-Inputs!$B$6*12))+Inputs!C26*Inputs!C24*1.1/12+Inputs!$B$10*1/12+IF(Inputs!C28=1,Inputs!$B$11/12,0)+Scenarios!C8*Inputs!$B$9/12+Inputs!C27/12</f>
        <v/>
      </c>
      <c r="D7" s="9">
        <f>Scenarios!D8*((Inputs!$B$5+(0))/12)/(1-(1+(Inputs!$B$5+(0))/12)^(-Inputs!$B$6*12))+Inputs!D26*Inputs!D24*1.1/12+Inputs!$B$10*1/12+IF(Inputs!D28=1,Inputs!$B$11/12,0)+Scenarios!D8*Inputs!$B$9/12+Inputs!D27/12</f>
        <v/>
      </c>
    </row>
    <row r="8">
      <c r="A8" s="4" t="inlineStr">
        <is>
          <t>Tax basis −10%</t>
        </is>
      </c>
      <c r="B8" s="9">
        <f>Scenarios!B8*((Inputs!$B$5+(0))/12)/(1-(1+(Inputs!$B$5+(0))/12)^(-Inputs!$B$6*12))+Inputs!B26*Inputs!B24*0.9/12+Inputs!$B$10*1/12+IF(Inputs!B28=1,Inputs!$B$11/12,0)+Scenarios!B8*Inputs!$B$9/12+Inputs!B27/12</f>
        <v/>
      </c>
      <c r="C8" s="9">
        <f>Scenarios!C8*((Inputs!$B$5+(0))/12)/(1-(1+(Inputs!$B$5+(0))/12)^(-Inputs!$B$6*12))+Inputs!C26*Inputs!C24*0.9/12+Inputs!$B$10*1/12+IF(Inputs!C28=1,Inputs!$B$11/12,0)+Scenarios!C8*Inputs!$B$9/12+Inputs!C27/12</f>
        <v/>
      </c>
      <c r="D8" s="9">
        <f>Scenarios!D8*((Inputs!$B$5+(0))/12)/(1-(1+(Inputs!$B$5+(0))/12)^(-Inputs!$B$6*12))+Inputs!D26*Inputs!D24*0.9/12+Inputs!$B$10*1/12+IF(Inputs!D28=1,Inputs!$B$11/12,0)+Scenarios!D8*Inputs!$B$9/12+Inputs!D27/12</f>
        <v/>
      </c>
    </row>
    <row r="9">
      <c r="A9" s="4" t="inlineStr">
        <is>
          <t>Insurance +25%</t>
        </is>
      </c>
      <c r="B9" s="9">
        <f>Scenarios!B8*((Inputs!$B$5+(0))/12)/(1-(1+(Inputs!$B$5+(0))/12)^(-Inputs!$B$6*12))+Inputs!B26*Inputs!B24*1/12+Inputs!$B$10*1.25/12+IF(Inputs!B28=1,Inputs!$B$11/12,0)+Scenarios!B8*Inputs!$B$9/12+Inputs!B27/12</f>
        <v/>
      </c>
      <c r="C9" s="9">
        <f>Scenarios!C8*((Inputs!$B$5+(0))/12)/(1-(1+(Inputs!$B$5+(0))/12)^(-Inputs!$B$6*12))+Inputs!C26*Inputs!C24*1/12+Inputs!$B$10*1.25/12+IF(Inputs!C28=1,Inputs!$B$11/12,0)+Scenarios!C8*Inputs!$B$9/12+Inputs!C27/12</f>
        <v/>
      </c>
      <c r="D9" s="9">
        <f>Scenarios!D8*((Inputs!$B$5+(0))/12)/(1-(1+(Inputs!$B$5+(0))/12)^(-Inputs!$B$6*12))+Inputs!D26*Inputs!D24*1/12+Inputs!$B$10*1.25/12+IF(Inputs!D28=1,Inputs!$B$11/12,0)+Scenarios!D8*Inputs!$B$9/12+Inputs!D27/12</f>
        <v/>
      </c>
    </row>
    <row r="10">
      <c r="A10" s="4" t="inlineStr">
        <is>
          <t>Insurance +25% and rate +0.50 pt</t>
        </is>
      </c>
      <c r="B10" s="9">
        <f>Scenarios!B8*((Inputs!$B$5+(0.005))/12)/(1-(1+(Inputs!$B$5+(0.005))/12)^(-Inputs!$B$6*12))+Inputs!B26*Inputs!B24*1/12+Inputs!$B$10*1.25/12+IF(Inputs!B28=1,Inputs!$B$11/12,0)+Scenarios!B8*Inputs!$B$9/12+Inputs!B27/12</f>
        <v/>
      </c>
      <c r="C10" s="9">
        <f>Scenarios!C8*((Inputs!$B$5+(0.005))/12)/(1-(1+(Inputs!$B$5+(0.005))/12)^(-Inputs!$B$6*12))+Inputs!C26*Inputs!C24*1/12+Inputs!$B$10*1.25/12+IF(Inputs!C28=1,Inputs!$B$11/12,0)+Scenarios!C8*Inputs!$B$9/12+Inputs!C27/12</f>
        <v/>
      </c>
      <c r="D10" s="9">
        <f>Scenarios!D8*((Inputs!$B$5+(0.005))/12)/(1-(1+(Inputs!$B$5+(0.005))/12)^(-Inputs!$B$6*12))+Inputs!D26*Inputs!D24*1/12+Inputs!$B$10*1.25/12+IF(Inputs!D28=1,Inputs!$B$11/12,0)+Scenarios!D8*Inputs!$B$9/12+Inputs!D27/12</f>
        <v/>
      </c>
    </row>
    <row r="12">
      <c r="A12" s="2" t="inlineStr">
        <is>
          <t>Each case recomputes P&amp;I, tax, insurance, MI and HOA from Inputs with the stated change; loan amount taken from Scenarios row 8 (Scenario 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44" customWidth="1" min="2" max="2"/>
    <col width="44" customWidth="1" min="3" max="3"/>
    <col width="44" customWidth="1" min="4" max="4"/>
    <col width="40" customWidth="1" min="5" max="5"/>
  </cols>
  <sheetData>
    <row r="1">
      <c r="A1" s="1" t="inlineStr">
        <is>
          <t>SIDE-BY-SIDE FACTS (text as recorded in sources; conflicts preserved)</t>
        </is>
      </c>
    </row>
    <row r="3">
      <c r="A3" s="3" t="inlineStr">
        <is>
          <t>Field</t>
        </is>
      </c>
      <c r="B3" s="3" t="inlineStr">
        <is>
          <t>3604 Littleleaf Dr, Killeen 76549</t>
        </is>
      </c>
      <c r="C3" s="3" t="inlineStr">
        <is>
          <t>2201 Westcliff Rd, Killeen 76543</t>
        </is>
      </c>
      <c r="D3" s="3" t="inlineStr">
        <is>
          <t>2409 Patrick Henry St, Temple 76504</t>
        </is>
      </c>
      <c r="E3" s="3" t="inlineStr">
        <is>
          <t>Source / note</t>
        </is>
      </c>
    </row>
    <row r="4">
      <c r="A4" s="12" t="inlineStr">
        <is>
          <t>MLS # / status / list price</t>
        </is>
      </c>
      <c r="B4" s="6" t="inlineStr">
        <is>
          <t>624332 / Active / $245,000</t>
        </is>
      </c>
      <c r="C4" s="6" t="inlineStr">
        <is>
          <t>625203 / Active / $260,000</t>
        </is>
      </c>
      <c r="D4" s="6" t="inlineStr">
        <is>
          <t>621224 / Active / $219,000</t>
        </is>
      </c>
      <c r="E4" s="6" t="inlineStr">
        <is>
          <t>MLS 360 Property View, printed 10/01/2026</t>
        </is>
      </c>
    </row>
    <row r="5">
      <c r="A5" s="12" t="inlineStr">
        <is>
          <t>List date / DOM</t>
        </is>
      </c>
      <c r="B5" s="6" t="inlineStr">
        <is>
          <t>09/02/2026 / 29</t>
        </is>
      </c>
      <c r="C5" s="6" t="inlineStr">
        <is>
          <t>09/14/2026 / 17 (also 'Recent: 09/18/2026 New Listing')</t>
        </is>
      </c>
      <c r="D5" s="6" t="inlineStr">
        <is>
          <t>08/19/2026 / 43</t>
        </is>
      </c>
      <c r="E5" s="6" t="inlineStr">
        <is>
          <t>MLS</t>
        </is>
      </c>
    </row>
    <row r="6">
      <c r="A6" s="12" t="inlineStr">
        <is>
          <t>Type / units / stories</t>
        </is>
      </c>
      <c r="B6" s="6" t="inlineStr">
        <is>
          <t>Multi-family duplex / 2 / one</t>
        </is>
      </c>
      <c r="C6" s="6" t="inlineStr">
        <is>
          <t>Multi-family duplex / units field blank / one</t>
        </is>
      </c>
      <c r="D6" s="6" t="inlineStr">
        <is>
          <t>Multi-family duplex / 2 / one</t>
        </is>
      </c>
      <c r="E6" s="6" t="inlineStr">
        <is>
          <t>MLS</t>
        </is>
      </c>
    </row>
    <row r="7">
      <c r="A7" s="12" t="inlineStr">
        <is>
          <t>Beds/baths per unit</t>
        </is>
      </c>
      <c r="B7" s="6" t="inlineStr">
        <is>
          <t>2 bed / 1 bath each</t>
        </is>
      </c>
      <c r="C7" s="6" t="inlineStr">
        <is>
          <t>2 bed / 1 bath each</t>
        </is>
      </c>
      <c r="D7" s="6" t="inlineStr">
        <is>
          <t>2 bed / 2 bath each</t>
        </is>
      </c>
      <c r="E7" s="6" t="inlineStr">
        <is>
          <t>MLS</t>
        </is>
      </c>
    </row>
    <row r="8">
      <c r="A8" s="12" t="inlineStr">
        <is>
          <t>Living area (source)</t>
        </is>
      </c>
      <c r="B8" s="6" t="inlineStr">
        <is>
          <t>1,943 sf total (Appraisal District); remarks say ~970 sf per unit</t>
        </is>
      </c>
      <c r="C8" s="6" t="inlineStr">
        <is>
          <t>1,974 sf total (Appraisal District)</t>
        </is>
      </c>
      <c r="D8" s="6" t="inlineStr">
        <is>
          <t>2,142 sf total (Appraisal District); agent remarks: all measurements approximate</t>
        </is>
      </c>
      <c r="E8" s="6" t="inlineStr">
        <is>
          <t>MLS</t>
        </is>
      </c>
    </row>
    <row r="9">
      <c r="A9" s="12" t="inlineStr">
        <is>
          <t>Year built (source)</t>
        </is>
      </c>
      <c r="B9" s="6" t="inlineStr">
        <is>
          <t>2003 (Appraisal District)</t>
        </is>
      </c>
      <c r="C9" s="6" t="inlineStr">
        <is>
          <t>1999 (Appraisal District)</t>
        </is>
      </c>
      <c r="D9" s="6" t="inlineStr">
        <is>
          <t>1981 (Appraisal District)</t>
        </is>
      </c>
      <c r="E9" s="6" t="inlineStr">
        <is>
          <t>MLS</t>
        </is>
      </c>
    </row>
    <row r="10">
      <c r="A10" s="12" t="inlineStr">
        <is>
          <t>Lot</t>
        </is>
      </c>
      <c r="B10" s="6" t="inlineStr">
        <is>
          <t>0.197 ac (Lot 9 Blk 3, Roberts Add Sec Two)</t>
        </is>
      </c>
      <c r="C10" s="6" t="inlineStr">
        <is>
          <t>0.823 ac (Lot 4 Blk 1, Mayhorn Add)</t>
        </is>
      </c>
      <c r="D10" s="6" t="inlineStr">
        <is>
          <t>0.182 ac (Lot 4 Blk 18, Northwest Hills 1st Ext)</t>
        </is>
      </c>
      <c r="E10" s="6" t="inlineStr">
        <is>
          <t>MLS legal description</t>
        </is>
      </c>
    </row>
    <row r="11">
      <c r="A11" s="12" t="inlineStr">
        <is>
          <t>Parking</t>
        </is>
      </c>
      <c r="B11" s="6" t="inlineStr">
        <is>
          <t>Off-street, 2 per unit per table; Garage field blank; CSV Garage: None</t>
        </is>
      </c>
      <c r="C11" s="6" t="inlineStr">
        <is>
          <t>Attached garage; CSV Garage: 1</t>
        </is>
      </c>
      <c r="D11" s="6" t="inlineStr">
        <is>
          <t>Attached carport (2); CSV Garage: None</t>
        </is>
      </c>
      <c r="E11" s="6" t="inlineStr">
        <is>
          <t>MLS + CSV export</t>
        </is>
      </c>
    </row>
    <row r="12">
      <c r="A12" s="12" t="inlineStr">
        <is>
          <t>HOA</t>
        </is>
      </c>
      <c r="B12" s="6" t="inlineStr">
        <is>
          <t>None</t>
        </is>
      </c>
      <c r="C12" s="6" t="inlineStr">
        <is>
          <t>None</t>
        </is>
      </c>
      <c r="D12" s="6" t="inlineStr">
        <is>
          <t>None</t>
        </is>
      </c>
      <c r="E12" s="6" t="inlineStr">
        <is>
          <t>MLS</t>
        </is>
      </c>
    </row>
    <row r="13">
      <c r="A13" s="12" t="inlineStr">
        <is>
          <t>Occupancy / leases</t>
        </is>
      </c>
      <c r="B13" s="6" t="inlineStr">
        <is>
          <t>Both vacant; Currently Leased: No</t>
        </is>
      </c>
      <c r="C13" s="6" t="inlineStr">
        <is>
          <t>Side B vacant; other side tenant month-to-month $895; tenant pays all bills; Occupant field says Vacant (conflict)</t>
        </is>
      </c>
      <c r="D13" s="6" t="inlineStr">
        <is>
          <t>One unit leased 12 months to 02/28/2027 at $995; other vacant; pro forma $995; Occupant: Tenant</t>
        </is>
      </c>
      <c r="E13" s="6" t="inlineStr">
        <is>
          <t>MLS; leases not read</t>
        </is>
      </c>
    </row>
    <row r="14">
      <c r="A14" s="12" t="inlineStr">
        <is>
          <t>Documents on file</t>
        </is>
      </c>
      <c r="B14" s="6" t="inlineStr">
        <is>
          <t>Seller's Disclosure</t>
        </is>
      </c>
      <c r="C14" s="6" t="inlineStr">
        <is>
          <t>Lease Agreements</t>
        </is>
      </c>
      <c r="D14" s="6" t="inlineStr">
        <is>
          <t>Seller's Disclosure, Survey</t>
        </is>
      </c>
      <c r="E14" s="6" t="inlineStr">
        <is>
          <t>MLS</t>
        </is>
      </c>
    </row>
    <row r="15">
      <c r="A15" s="12" t="inlineStr">
        <is>
          <t>Acceptable financing</t>
        </is>
      </c>
      <c r="B15" s="6" t="inlineStr">
        <is>
          <t>Cash, Conventional, FHA, VA</t>
        </is>
      </c>
      <c r="C15" s="6" t="inlineStr">
        <is>
          <t>Cash, Conventional</t>
        </is>
      </c>
      <c r="D15" s="6" t="inlineStr">
        <is>
          <t>Cash, Conventional</t>
        </is>
      </c>
      <c r="E15" s="6" t="inlineStr">
        <is>
          <t>MLS</t>
        </is>
      </c>
    </row>
    <row r="16">
      <c r="A16" s="12" t="inlineStr">
        <is>
          <t>Condition notes</t>
        </is>
      </c>
      <c r="B16" s="6" t="inlineStr">
        <is>
          <t>AS-IS; 'light TLC'; lender-required repairs at buyer's expense; LVP in living areas; 4-side masonry; 2 heat/2 AC units; fencing none; water/sewer: 'City on Property, City Water, On-Site Sewer' (conflicting)</t>
        </is>
      </c>
      <c r="C16" s="6" t="inlineStr">
        <is>
          <t>1 heat / 1 AC unit and 1 water heater listed (shared systems?); heavy composite roof; attached garage; fenced back yard; 'Gated Community: Yes' (implausible, verify)</t>
        </is>
      </c>
      <c r="D16" s="6" t="inlineStr">
        <is>
          <t>4-side brick; Side B new HVAC 2025; 2 heat/2 AC; carport; fencing none; attic none; flooring carpet/linoleum/LVP</t>
        </is>
      </c>
      <c r="E16" s="6" t="inlineStr">
        <is>
          <t>MLS</t>
        </is>
      </c>
    </row>
    <row r="17">
      <c r="A17" s="12" t="inlineStr">
        <is>
          <t>Taxes (MLS)</t>
        </is>
      </c>
      <c r="B17" s="6" t="inlineStr">
        <is>
          <t>$4,761 annual; rate 2.03; tax year 2026; Exemptions: Homestead (current owner)</t>
        </is>
      </c>
      <c r="C17" s="6" t="inlineStr">
        <is>
          <t>$5,207 annual; rate 2.03; tax year 2026; no exemption listed</t>
        </is>
      </c>
      <c r="D17" s="6" t="inlineStr">
        <is>
          <t>Annual amount blank; rate 2.39; tax year 2025; no exemption listed</t>
        </is>
      </c>
      <c r="E17" s="6" t="inlineStr">
        <is>
          <t>MLS; Bell CAD not retrieved (site unreachable 10/01/2026)</t>
        </is>
      </c>
    </row>
    <row r="18">
      <c r="A18" s="12" t="inlineStr">
        <is>
          <t>Flood</t>
        </is>
      </c>
      <c r="B18" s="6" t="inlineStr">
        <is>
          <t>MLS: FEMA Flood Plain No; Res Flooded No. FEMA NFHL query 10/01/2026: Zone X (minimal hazard) at site and within 60 m</t>
        </is>
      </c>
      <c r="C18" s="6" t="inlineStr">
        <is>
          <t>MLS: FEMA Flood Plain PARTIAL; Res Flooded UNKNOWN. FEMA NFHL query 10/01/2026: within 30 m of site, Zone AE (1% annual chance), AE FLOODWAY, X 0.2%, and X minimal; FIRM panel 48027C0115E eff. 09/26/2008</t>
        </is>
      </c>
      <c r="D18" s="6" t="inlineStr">
        <is>
          <t>MLS: FEMA Flood Plain No; Res Flooded No. FEMA NFHL query 10/01/2026: Zone X (minimal hazard) at site and within 60 m</t>
        </is>
      </c>
      <c r="E18" s="6" t="inlineStr">
        <is>
          <t>FEMA National Flood Hazard Layer (hazards.fema.gov) point/buffer query; not an elevation certificate</t>
        </is>
      </c>
    </row>
    <row r="19">
      <c r="A19" s="12" t="inlineStr">
        <is>
          <t>Jurisdiction flags</t>
        </is>
      </c>
      <c r="B19" s="6" t="inlineStr">
        <is>
          <t>In city limits Yes; ETJ No</t>
        </is>
      </c>
      <c r="C19" s="6" t="inlineStr">
        <is>
          <t>In city limits Yes AND ETJ Yes (contradictory)</t>
        </is>
      </c>
      <c r="D19" s="6" t="inlineStr">
        <is>
          <t>In city limits Yes; ETJ No</t>
        </is>
      </c>
      <c r="E19" s="6" t="inlineStr">
        <is>
          <t>MLS</t>
        </is>
      </c>
    </row>
    <row r="20">
      <c r="A20" s="12" t="inlineStr">
        <is>
          <t>Seller concession field</t>
        </is>
      </c>
      <c r="B20" s="6" t="inlineStr">
        <is>
          <t>Blank</t>
        </is>
      </c>
      <c r="C20" s="6" t="inlineStr">
        <is>
          <t>Blank</t>
        </is>
      </c>
      <c r="D20" s="6" t="inlineStr">
        <is>
          <t>Yes — seller may consider a concession included in an offer</t>
        </is>
      </c>
      <c r="E20" s="6" t="inlineStr">
        <is>
          <t>MLS</t>
        </is>
      </c>
    </row>
    <row r="21">
      <c r="A21" s="12" t="inlineStr">
        <is>
          <t>Owner of record (MLS)</t>
        </is>
      </c>
      <c r="B21" s="6" t="inlineStr">
        <is>
          <t>Individual</t>
        </is>
      </c>
      <c r="C21" s="6" t="inlineStr">
        <is>
          <t>Individual</t>
        </is>
      </c>
      <c r="D21" s="6" t="inlineStr">
        <is>
          <t>Irrevocable trust (trustee authority to verify at title)</t>
        </is>
      </c>
      <c r="E21" s="6" t="inlineStr">
        <is>
          <t>MLS</t>
        </is>
      </c>
    </row>
    <row r="22">
      <c r="A22" s="12" t="inlineStr">
        <is>
          <t>Showing</t>
        </is>
      </c>
      <c r="B22" s="6" t="inlineStr">
        <is>
          <t>Call first-go; combo lockbox back door</t>
        </is>
      </c>
      <c r="C22" s="6" t="inlineStr">
        <is>
          <t>Appointment only; side B shown, other side during option</t>
        </is>
      </c>
      <c r="D22" s="6" t="inlineStr">
        <is>
          <t>Call listing office; 24-hr notice; weekdays only</t>
        </is>
      </c>
      <c r="E22" s="6" t="inlineStr">
        <is>
          <t>MLS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cols>
    <col width="30" customWidth="1" min="1" max="1"/>
    <col width="20" customWidth="1" min="2" max="2"/>
    <col width="12" customWidth="1" min="3" max="3"/>
    <col width="12" customWidth="1" min="4" max="4"/>
    <col width="10" customWidth="1" min="5" max="5"/>
    <col width="14" customWidth="1" min="6" max="6"/>
    <col width="12" customWidth="1" min="7" max="7"/>
    <col width="26" customWidth="1" min="8" max="8"/>
    <col width="46" customWidth="1" min="9" max="9"/>
  </cols>
  <sheetData>
    <row r="1">
      <c r="A1" s="1" t="inlineStr">
        <is>
          <t>RENT EVIDENCE AND SUPPLIED SALES DATA (from two MLS CSV exports supplied 2026-10-01; not an appraisal)</t>
        </is>
      </c>
    </row>
    <row r="3">
      <c r="A3" s="3" t="inlineStr">
        <is>
          <t>Address (Killeen unless noted)</t>
        </is>
      </c>
      <c r="B3" s="3" t="inlineStr">
        <is>
          <t>Status</t>
        </is>
      </c>
      <c r="C3" s="3" t="inlineStr">
        <is>
          <t>List $</t>
        </is>
      </c>
      <c r="D3" s="3" t="inlineStr">
        <is>
          <t>Close $</t>
        </is>
      </c>
      <c r="E3" s="3" t="inlineStr">
        <is>
          <t>Sq ft</t>
        </is>
      </c>
      <c r="F3" s="3" t="inlineStr">
        <is>
          <t>$/sf (close or list)</t>
        </is>
      </c>
      <c r="G3" s="3" t="inlineStr">
        <is>
          <t>Year built</t>
        </is>
      </c>
      <c r="H3" s="3" t="inlineStr">
        <is>
          <t>Config / financing</t>
        </is>
      </c>
      <c r="I3" s="3" t="inlineStr">
        <is>
          <t>Note</t>
        </is>
      </c>
    </row>
    <row r="4">
      <c r="A4" s="6" t="inlineStr">
        <is>
          <t>3802 Hitchrock Dr #1&amp;2</t>
        </is>
      </c>
      <c r="B4" s="6" t="inlineStr">
        <is>
          <t>Closed 04/13/2026</t>
        </is>
      </c>
      <c r="C4" s="13" t="n">
        <v>289000</v>
      </c>
      <c r="D4" s="13" t="n">
        <v>289000</v>
      </c>
      <c r="E4" s="6" t="n">
        <v>2392</v>
      </c>
      <c r="F4" s="14">
        <f>IF(D4&lt;&gt;"",D4/E4,C4/E4)</f>
        <v/>
      </c>
      <c r="G4" s="6" t="n">
        <v>2000</v>
      </c>
      <c r="H4" s="6" t="inlineStr">
        <is>
          <t>3/2 each, 2-car gar each (per side?) / VA</t>
        </is>
      </c>
      <c r="I4" s="6" t="inlineStr">
        <is>
          <t>Roof replaced; CSV</t>
        </is>
      </c>
    </row>
    <row r="5">
      <c r="A5" s="6" t="inlineStr">
        <is>
          <t>3605 Westwood Dr</t>
        </is>
      </c>
      <c r="B5" s="6" t="inlineStr">
        <is>
          <t>Closed 04/14/2026</t>
        </is>
      </c>
      <c r="C5" s="13" t="n">
        <v>290000</v>
      </c>
      <c r="D5" s="13" t="n">
        <v>285000</v>
      </c>
      <c r="E5" s="6" t="n">
        <v>2352</v>
      </c>
      <c r="F5" s="14">
        <f>IF(D5&lt;&gt;"",D5/E5,C5/E5)</f>
        <v/>
      </c>
      <c r="G5" s="6" t="n">
        <v>2002</v>
      </c>
      <c r="H5" s="6" t="inlineStr">
        <is>
          <t>2/2 each, 1-car / Cash</t>
        </is>
      </c>
      <c r="I5" s="6" t="inlineStr">
        <is>
          <t>Updated; new roof; CSV</t>
        </is>
      </c>
    </row>
    <row r="6">
      <c r="A6" s="6" t="inlineStr">
        <is>
          <t>2709 Alma Dr</t>
        </is>
      </c>
      <c r="B6" s="6" t="inlineStr">
        <is>
          <t>Closed 09/21/2026</t>
        </is>
      </c>
      <c r="C6" s="13" t="n">
        <v>315000</v>
      </c>
      <c r="D6" s="13" t="n">
        <v>315000</v>
      </c>
      <c r="E6" s="6" t="n">
        <v>2282</v>
      </c>
      <c r="F6" s="14">
        <f>IF(D6&lt;&gt;"",D6/E6,C6/E6)</f>
        <v/>
      </c>
      <c r="G6" s="6" t="n">
        <v>2002</v>
      </c>
      <c r="H6" s="6" t="inlineStr">
        <is>
          <t>3/2 each, 1-car / VA</t>
        </is>
      </c>
      <c r="I6" s="6" t="inlineStr">
        <is>
          <t>Unit A leased $1,245 to 8/31/2026 then MTM; unit B updated vacant; CSV</t>
        </is>
      </c>
    </row>
    <row r="7">
      <c r="A7" s="6" t="inlineStr">
        <is>
          <t>2308 Shoemaker Dr</t>
        </is>
      </c>
      <c r="B7" s="6" t="inlineStr">
        <is>
          <t>Closed 06/15/2026</t>
        </is>
      </c>
      <c r="C7" s="13" t="n">
        <v>235000</v>
      </c>
      <c r="D7" s="13" t="n">
        <v>200000</v>
      </c>
      <c r="E7" s="6" t="n">
        <v>2060</v>
      </c>
      <c r="F7" s="14">
        <f>IF(D7&lt;&gt;"",D7/E7,C7/E7)</f>
        <v/>
      </c>
      <c r="G7" s="6" t="n">
        <v>1982</v>
      </c>
      <c r="H7" s="6" t="inlineStr">
        <is>
          <t>3/2 + 2/1 units / Cash</t>
        </is>
      </c>
      <c r="I7" s="6" t="inlineStr">
        <is>
          <t>LP $245k orig; renovated 3/2; CSV</t>
        </is>
      </c>
    </row>
    <row r="8">
      <c r="A8" s="6" t="inlineStr">
        <is>
          <t>2105 Robert E Lee Dr (fourplex)</t>
        </is>
      </c>
      <c r="B8" s="6" t="inlineStr">
        <is>
          <t>Closed 09/24/2026</t>
        </is>
      </c>
      <c r="C8" s="13" t="n">
        <v>269550</v>
      </c>
      <c r="D8" s="13" t="n">
        <v>255000</v>
      </c>
      <c r="E8" s="6" t="n">
        <v>1952</v>
      </c>
      <c r="F8" s="14">
        <f>IF(D8&lt;&gt;"",D8/E8,C8/E8)</f>
        <v/>
      </c>
      <c r="G8" s="6" t="n">
        <v>1979</v>
      </c>
      <c r="H8" s="6" t="inlineStr">
        <is>
          <t>4 × 1/1 / VA</t>
        </is>
      </c>
      <c r="I8" s="6" t="inlineStr">
        <is>
          <t>All units $650; owner pays water/sewer/garbage; CSV</t>
        </is>
      </c>
    </row>
    <row r="9">
      <c r="A9" s="6" t="inlineStr">
        <is>
          <t>1807 N W S Young Dr</t>
        </is>
      </c>
      <c r="B9" s="6" t="inlineStr">
        <is>
          <t>Closed 07/29/2026</t>
        </is>
      </c>
      <c r="C9" s="13" t="n">
        <v>129000</v>
      </c>
      <c r="D9" s="13" t="n">
        <v>120000</v>
      </c>
      <c r="E9" s="6" t="n">
        <v>1056</v>
      </c>
      <c r="F9" s="14">
        <f>IF(D9&lt;&gt;"",D9/E9,C9/E9)</f>
        <v/>
      </c>
      <c r="G9" s="6" t="n">
        <v>1964</v>
      </c>
      <c r="H9" s="6" t="inlineStr">
        <is>
          <t>1/1 / Conventional</t>
        </is>
      </c>
      <c r="I9" s="6" t="inlineStr">
        <is>
          <t>Single unit of duplex? CSV</t>
        </is>
      </c>
    </row>
    <row r="10">
      <c r="A10" s="6" t="inlineStr">
        <is>
          <t>3805 Hitchrock Dr</t>
        </is>
      </c>
      <c r="B10" s="6" t="inlineStr">
        <is>
          <t>Pending</t>
        </is>
      </c>
      <c r="C10" s="13" t="n">
        <v>195000</v>
      </c>
      <c r="D10" s="6" t="n"/>
      <c r="E10" s="6" t="n">
        <v>2392</v>
      </c>
      <c r="F10" s="14">
        <f>IF(D10&lt;&gt;"",D10/E10,C10/E10)</f>
        <v/>
      </c>
      <c r="G10" s="6" t="n">
        <v>2000</v>
      </c>
      <c r="H10" s="6" t="inlineStr">
        <is>
          <t>3/2 each</t>
        </is>
      </c>
      <c r="I10" s="6" t="inlineStr">
        <is>
          <t>As-is; 'opening offer amount'; multiple offers; CSV</t>
        </is>
      </c>
    </row>
    <row r="11">
      <c r="A11" s="6" t="inlineStr">
        <is>
          <t>2602 Alma Dr</t>
        </is>
      </c>
      <c r="B11" s="6" t="inlineStr">
        <is>
          <t>Active Under Contract</t>
        </is>
      </c>
      <c r="C11" s="13" t="n">
        <v>255999</v>
      </c>
      <c r="D11" s="6" t="n"/>
      <c r="E11" s="6" t="n">
        <v>2282</v>
      </c>
      <c r="F11" s="14">
        <f>IF(D11&lt;&gt;"",D11/E11,C11/E11)</f>
        <v/>
      </c>
      <c r="G11" s="6" t="n">
        <v>2002</v>
      </c>
      <c r="H11" s="6" t="inlineStr">
        <is>
          <t>3/2 each, 1-car</t>
        </is>
      </c>
      <c r="I11" s="6" t="inlineStr">
        <is>
          <t>Tenant occupied; orig $285,999; CSV</t>
        </is>
      </c>
    </row>
    <row r="12">
      <c r="A12" s="6" t="inlineStr">
        <is>
          <t>2600 Edgefield St</t>
        </is>
      </c>
      <c r="B12" s="6" t="inlineStr">
        <is>
          <t>Active</t>
        </is>
      </c>
      <c r="C12" s="13" t="n">
        <v>280000</v>
      </c>
      <c r="D12" s="6" t="n"/>
      <c r="E12" s="6" t="n">
        <v>2352</v>
      </c>
      <c r="F12" s="14">
        <f>IF(D12&lt;&gt;"",D12/E12,C12/E12)</f>
        <v/>
      </c>
      <c r="G12" s="6" t="n">
        <v>2002</v>
      </c>
      <c r="H12" s="6" t="inlineStr">
        <is>
          <t>3/2 each</t>
        </is>
      </c>
      <c r="I12" s="6" t="inlineStr">
        <is>
          <t>Portfolio seller; tenants; CSV</t>
        </is>
      </c>
    </row>
    <row r="13">
      <c r="A13" s="6" t="inlineStr">
        <is>
          <t>2606 Edgefield St</t>
        </is>
      </c>
      <c r="B13" s="6" t="inlineStr">
        <is>
          <t>Active</t>
        </is>
      </c>
      <c r="C13" s="13" t="n">
        <v>290000</v>
      </c>
      <c r="D13" s="6" t="n"/>
      <c r="E13" s="6" t="n">
        <v>2352</v>
      </c>
      <c r="F13" s="14">
        <f>IF(D13&lt;&gt;"",D13/E13,C13/E13)</f>
        <v/>
      </c>
      <c r="G13" s="6" t="n">
        <v>2001</v>
      </c>
      <c r="H13" s="6" t="inlineStr">
        <is>
          <t>3/2 each, 1-car</t>
        </is>
      </c>
      <c r="I13" s="6" t="inlineStr">
        <is>
          <t>Vacant both; DOM 120; CSV</t>
        </is>
      </c>
    </row>
    <row r="14">
      <c r="A14" s="6" t="inlineStr">
        <is>
          <t>3501 / 3505 Dustin Ct</t>
        </is>
      </c>
      <c r="B14" s="6" t="inlineStr">
        <is>
          <t>Active</t>
        </is>
      </c>
      <c r="C14" s="13" t="n">
        <v>290000</v>
      </c>
      <c r="D14" s="6" t="n"/>
      <c r="E14" s="6" t="n">
        <v>2590</v>
      </c>
      <c r="F14" s="14">
        <f>IF(D14&lt;&gt;"",D14/E14,C14/E14)</f>
        <v/>
      </c>
      <c r="G14" s="6" t="n">
        <v>2003</v>
      </c>
      <c r="H14" s="6" t="inlineStr">
        <is>
          <t>3/2 each</t>
        </is>
      </c>
      <c r="I14" s="6" t="inlineStr">
        <is>
          <t>Portfolio seller; CSV</t>
        </is>
      </c>
    </row>
    <row r="15">
      <c r="A15" s="6" t="inlineStr">
        <is>
          <t>2609 Vernice Loop</t>
        </is>
      </c>
      <c r="B15" s="6" t="inlineStr">
        <is>
          <t>Active</t>
        </is>
      </c>
      <c r="C15" s="13" t="n">
        <v>295000</v>
      </c>
      <c r="D15" s="6" t="n"/>
      <c r="E15" s="6" t="n">
        <v>2614</v>
      </c>
      <c r="F15" s="14">
        <f>IF(D15&lt;&gt;"",D15/E15,C15/E15)</f>
        <v/>
      </c>
      <c r="G15" s="6" t="n">
        <v>2006</v>
      </c>
      <c r="H15" s="6" t="inlineStr">
        <is>
          <t>3/2 each</t>
        </is>
      </c>
      <c r="I15" s="6" t="inlineStr">
        <is>
          <t>Orig $309k; DOM 92; CSV</t>
        </is>
      </c>
    </row>
    <row r="16">
      <c r="A16" s="6" t="inlineStr">
        <is>
          <t>3801 Hitchrock Dr</t>
        </is>
      </c>
      <c r="B16" s="6" t="inlineStr">
        <is>
          <t>Active</t>
        </is>
      </c>
      <c r="C16" s="13" t="n">
        <v>330000</v>
      </c>
      <c r="D16" s="6" t="n"/>
      <c r="E16" s="6" t="n">
        <v>2392</v>
      </c>
      <c r="F16" s="14">
        <f>IF(D16&lt;&gt;"",D16/E16,C16/E16)</f>
        <v/>
      </c>
      <c r="G16" s="6" t="n">
        <v>2000</v>
      </c>
      <c r="H16" s="6" t="inlineStr">
        <is>
          <t>3/2 each, 1-car</t>
        </is>
      </c>
      <c r="I16" s="6" t="inlineStr">
        <is>
          <t>DOM 729; CSV</t>
        </is>
      </c>
    </row>
    <row r="17">
      <c r="A17" s="6" t="inlineStr">
        <is>
          <t>3802 Uvalde Dr #A&amp;B</t>
        </is>
      </c>
      <c r="B17" s="6" t="inlineStr">
        <is>
          <t>Active</t>
        </is>
      </c>
      <c r="C17" s="13" t="n">
        <v>260000</v>
      </c>
      <c r="D17" s="6" t="n"/>
      <c r="E17" s="6" t="n">
        <v>2470</v>
      </c>
      <c r="F17" s="14">
        <f>IF(D17&lt;&gt;"",D17/E17,C17/E17)</f>
        <v/>
      </c>
      <c r="G17" s="6" t="n">
        <v>2004</v>
      </c>
      <c r="H17" s="6" t="inlineStr">
        <is>
          <t>2/2 each (per remarks)</t>
        </is>
      </c>
      <c r="I17" s="6" t="inlineStr">
        <is>
          <t>Orig $265k; lease to 7/31/2026; CSV</t>
        </is>
      </c>
    </row>
    <row r="18">
      <c r="A18" s="6" t="inlineStr">
        <is>
          <t>2209 Wright Way</t>
        </is>
      </c>
      <c r="B18" s="6" t="inlineStr">
        <is>
          <t>Active</t>
        </is>
      </c>
      <c r="C18" s="13" t="n">
        <v>270000</v>
      </c>
      <c r="D18" s="6" t="n"/>
      <c r="E18" s="6" t="n">
        <v>2187</v>
      </c>
      <c r="F18" s="14">
        <f>IF(D18&lt;&gt;"",D18/E18,C18/E18)</f>
        <v/>
      </c>
      <c r="G18" s="6" t="n">
        <v>1999</v>
      </c>
      <c r="H18" s="6" t="inlineStr">
        <is>
          <t>3/2 each, 1-car</t>
        </is>
      </c>
      <c r="I18" s="6" t="inlineStr">
        <is>
          <t>Tenant; corner lot; CSV</t>
        </is>
      </c>
    </row>
    <row r="19">
      <c r="A19" s="6" t="inlineStr">
        <is>
          <t>2410 Westcliff Rd #A&amp;B</t>
        </is>
      </c>
      <c r="B19" s="6" t="inlineStr">
        <is>
          <t>Active</t>
        </is>
      </c>
      <c r="C19" s="13" t="n">
        <v>365000</v>
      </c>
      <c r="D19" s="6" t="n"/>
      <c r="E19" s="6" t="n">
        <v>2496</v>
      </c>
      <c r="F19" s="14">
        <f>IF(D19&lt;&gt;"",D19/E19,C19/E19)</f>
        <v/>
      </c>
      <c r="G19" s="6" t="n">
        <v>2024</v>
      </c>
      <c r="H19" s="6" t="inlineStr">
        <is>
          <t>3/2 each, 1-car</t>
        </is>
      </c>
      <c r="I19" s="6" t="inlineStr">
        <is>
          <t>New build; remarks conflict: 'both sides vacant' vs 'both rented at $1,200'; DOM 418; CSV</t>
        </is>
      </c>
    </row>
    <row r="21">
      <c r="A21" s="1" t="inlineStr">
        <is>
          <t>Subject $/sf at list</t>
        </is>
      </c>
    </row>
    <row r="22">
      <c r="A22" t="inlineStr">
        <is>
          <t>3604 Littleleaf (2/1 each, 1,943 sf)</t>
        </is>
      </c>
      <c r="F22" s="15">
        <f>Inputs!B22/1943</f>
        <v/>
      </c>
    </row>
    <row r="23">
      <c r="A23" t="inlineStr">
        <is>
          <t>2201 Westcliff (2/1 each, 1,974 sf)</t>
        </is>
      </c>
      <c r="F23" s="15">
        <f>Inputs!C22/1974</f>
        <v/>
      </c>
    </row>
    <row r="24">
      <c r="A24" t="inlineStr">
        <is>
          <t>2409 Patrick Henry (2/2 each, 2,142 sf)</t>
        </is>
      </c>
      <c r="F24" s="15">
        <f>Inputs!D22/2142</f>
        <v/>
      </c>
    </row>
    <row r="26">
      <c r="A26" s="2" t="inlineStr">
        <is>
          <t>Caution: no supplied closed sale matches a 2/1-per-side duplex; no Temple comparables were supplied at all. These rows support questions, not an offer price. An offer recommendation requires an MLS comp review of similar configuration, age and condition within 6–12 months.</t>
        </is>
      </c>
    </row>
    <row r="28">
      <c r="A28" s="1" t="inlineStr">
        <is>
          <t>RENT EVIDENCE (distinguish signed-lease rent, actual collections, asking rent, projected market rent)</t>
        </is>
      </c>
    </row>
    <row r="29">
      <c r="A29" s="3" t="inlineStr">
        <is>
          <t>Property</t>
        </is>
      </c>
      <c r="B29" s="3" t="inlineStr">
        <is>
          <t>Signed lease / MTM rent</t>
        </is>
      </c>
      <c r="C29" s="3" t="inlineStr">
        <is>
          <t>Actual collections</t>
        </is>
      </c>
      <c r="D29" s="3" t="inlineStr">
        <is>
          <t>Asking rent</t>
        </is>
      </c>
      <c r="E29" s="3" t="inlineStr">
        <is>
          <t>Projected market rent</t>
        </is>
      </c>
      <c r="F29" s="3" t="inlineStr">
        <is>
          <t>Source</t>
        </is>
      </c>
    </row>
    <row r="30">
      <c r="A30" s="6" t="inlineStr">
        <is>
          <t>3604 Littleleaf</t>
        </is>
      </c>
      <c r="B30" s="6" t="inlineStr">
        <is>
          <t>none (vacant)</t>
        </is>
      </c>
      <c r="C30" s="6" t="inlineStr">
        <is>
          <t>none</t>
        </is>
      </c>
      <c r="D30" s="6" t="inlineStr">
        <is>
          <t>not listed</t>
        </is>
      </c>
      <c r="E30" s="6" t="inlineStr">
        <is>
          <t>unknown — no 2/1 rent evidence supplied</t>
        </is>
      </c>
      <c r="F30" s="6" t="inlineStr">
        <is>
          <t>MLS</t>
        </is>
      </c>
    </row>
    <row r="31">
      <c r="A31" s="6" t="inlineStr">
        <is>
          <t>2201 Westcliff</t>
        </is>
      </c>
      <c r="B31" s="6" t="inlineStr">
        <is>
          <t>$895 month-to-month, one side</t>
        </is>
      </c>
      <c r="C31" s="6" t="inlineStr">
        <is>
          <t>unverified</t>
        </is>
      </c>
      <c r="D31" s="6" t="inlineStr">
        <is>
          <t>not listed</t>
        </is>
      </c>
      <c r="E31" s="6" t="inlineStr">
        <is>
          <t>unknown</t>
        </is>
      </c>
      <c r="F31" s="6" t="inlineStr">
        <is>
          <t>MLS rent table; lease on file not read</t>
        </is>
      </c>
    </row>
    <row r="32">
      <c r="A32" s="6" t="inlineStr">
        <is>
          <t>2409 Patrick Henry</t>
        </is>
      </c>
      <c r="B32" s="6" t="inlineStr">
        <is>
          <t>$995, 12-month lease to 02/28/2027, one side</t>
        </is>
      </c>
      <c r="C32" s="6" t="inlineStr">
        <is>
          <t>unverified</t>
        </is>
      </c>
      <c r="D32" s="6" t="inlineStr">
        <is>
          <t>$995 pro forma for vacant side</t>
        </is>
      </c>
      <c r="E32" s="6" t="inlineStr">
        <is>
          <t>unknown</t>
        </is>
      </c>
      <c r="F32" s="6" t="inlineStr">
        <is>
          <t>MLS rent table</t>
        </is>
      </c>
    </row>
    <row r="33">
      <c r="A33" s="6" t="inlineStr">
        <is>
          <t>Reference: 2709 Alma (3/2)</t>
        </is>
      </c>
      <c r="B33" s="6" t="inlineStr">
        <is>
          <t>$1,245 lease to 8/31/2026</t>
        </is>
      </c>
      <c r="C33" s="6" t="inlineStr">
        <is>
          <t>—</t>
        </is>
      </c>
      <c r="D33" s="6" t="inlineStr">
        <is>
          <t>—</t>
        </is>
      </c>
      <c r="E33" s="6" t="inlineStr">
        <is>
          <t>—</t>
        </is>
      </c>
      <c r="F33" s="6" t="inlineStr">
        <is>
          <t>CSV remarks</t>
        </is>
      </c>
    </row>
    <row r="34">
      <c r="A34" s="6" t="inlineStr">
        <is>
          <t>Reference: 2410 Westcliff (new 3/2)</t>
        </is>
      </c>
      <c r="B34" s="6" t="inlineStr">
        <is>
          <t>$1,200 each (conflicting remarks)</t>
        </is>
      </c>
      <c r="C34" s="6" t="inlineStr">
        <is>
          <t>—</t>
        </is>
      </c>
      <c r="D34" s="6" t="inlineStr">
        <is>
          <t>—</t>
        </is>
      </c>
      <c r="E34" s="6" t="inlineStr">
        <is>
          <t>—</t>
        </is>
      </c>
      <c r="F34" s="6" t="inlineStr">
        <is>
          <t>CSV remarks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46" customWidth="1" min="1" max="1"/>
    <col width="30" customWidth="1" min="2" max="2"/>
    <col width="30" customWidth="1" min="3" max="3"/>
    <col width="30" customWidth="1" min="4" max="4"/>
    <col width="30" customWidth="1" min="5" max="5"/>
  </cols>
  <sheetData>
    <row r="1">
      <c r="A1" s="1" t="inlineStr">
        <is>
          <t>REUSABLE SHORTLIST TEMPLATE — copy this sheet per shortlist; fill blue cells; see Inputs/Scenarios for the model</t>
        </is>
      </c>
    </row>
    <row r="3">
      <c r="A3" s="3" t="inlineStr">
        <is>
          <t>Field</t>
        </is>
      </c>
      <c r="B3" s="3" t="inlineStr">
        <is>
          <t>Property 1</t>
        </is>
      </c>
      <c r="C3" s="3" t="inlineStr">
        <is>
          <t>Property 2</t>
        </is>
      </c>
      <c r="D3" s="3" t="inlineStr">
        <is>
          <t>Property 3</t>
        </is>
      </c>
      <c r="E3" s="3" t="inlineStr">
        <is>
          <t>Source to cite</t>
        </is>
      </c>
    </row>
    <row r="4">
      <c r="A4" s="1" t="inlineStr">
        <is>
          <t>Full address / MLS # / listing URL</t>
        </is>
      </c>
      <c r="B4" s="16" t="inlineStr">
        <is>
          <t>3604 Littleleaf Dr, Killeen 76549 / 624332 / (MLS link)</t>
        </is>
      </c>
      <c r="C4" s="17" t="n"/>
      <c r="D4" s="17" t="n"/>
      <c r="E4" s="2" t="inlineStr">
        <is>
          <t>MLS sheet / CAD / FEMA / lender / insurer / buyer</t>
        </is>
      </c>
    </row>
    <row r="5">
      <c r="A5" s="1" t="inlineStr">
        <is>
          <t>Asking price / status / check date</t>
        </is>
      </c>
      <c r="B5" s="16" t="inlineStr">
        <is>
          <t>$245,000 / Active / 2026-10-01</t>
        </is>
      </c>
      <c r="C5" s="17" t="n"/>
      <c r="D5" s="17" t="n"/>
      <c r="E5" s="2" t="inlineStr">
        <is>
          <t>MLS sheet / CAD / FEMA / lender / insurer / buyer</t>
        </is>
      </c>
    </row>
    <row r="6">
      <c r="A6" s="1" t="inlineStr">
        <is>
          <t>Home type / units / beds-baths per unit</t>
        </is>
      </c>
      <c r="B6" s="16" t="inlineStr">
        <is>
          <t>Duplex / 2 / 2-1 each</t>
        </is>
      </c>
      <c r="C6" s="17" t="n"/>
      <c r="D6" s="17" t="n"/>
      <c r="E6" s="2" t="inlineStr">
        <is>
          <t>MLS sheet / CAD / FEMA / lender / insurer / buyer</t>
        </is>
      </c>
    </row>
    <row r="7">
      <c r="A7" s="1" t="inlineStr">
        <is>
          <t>Living area + source</t>
        </is>
      </c>
      <c r="B7" s="16" t="inlineStr">
        <is>
          <t>1,943 sf (Appraisal District)</t>
        </is>
      </c>
      <c r="C7" s="17" t="n"/>
      <c r="D7" s="17" t="n"/>
      <c r="E7" s="2" t="inlineStr">
        <is>
          <t>MLS sheet / CAD / FEMA / lender / insurer / buyer</t>
        </is>
      </c>
    </row>
    <row r="8">
      <c r="A8" s="1" t="inlineStr">
        <is>
          <t>Year built + source</t>
        </is>
      </c>
      <c r="B8" s="16" t="inlineStr">
        <is>
          <t>2003 (Appraisal District)</t>
        </is>
      </c>
      <c r="C8" s="17" t="n"/>
      <c r="D8" s="17" t="n"/>
      <c r="E8" s="2" t="inlineStr">
        <is>
          <t>MLS sheet / CAD / FEMA / lender / insurer / buyer</t>
        </is>
      </c>
    </row>
    <row r="9">
      <c r="A9" s="1" t="inlineStr">
        <is>
          <t>Lot size / legal description</t>
        </is>
      </c>
      <c r="B9" s="16" t="inlineStr">
        <is>
          <t>0.197 ac / Roberts Add Sec Two Blk 3 Lot 9</t>
        </is>
      </c>
      <c r="C9" s="17" t="n"/>
      <c r="D9" s="17" t="n"/>
      <c r="E9" s="2" t="inlineStr">
        <is>
          <t>MLS sheet / CAD / FEMA / lender / insurer / buyer</t>
        </is>
      </c>
    </row>
    <row r="10">
      <c r="A10" s="1" t="inlineStr">
        <is>
          <t>Parking</t>
        </is>
      </c>
      <c r="B10" s="16" t="inlineStr">
        <is>
          <t>Off-street</t>
        </is>
      </c>
      <c r="C10" s="17" t="n"/>
      <c r="D10" s="17" t="n"/>
      <c r="E10" s="2" t="inlineStr">
        <is>
          <t>MLS sheet / CAD / FEMA / lender / insurer / buyer</t>
        </is>
      </c>
    </row>
    <row r="11">
      <c r="A11" s="1" t="inlineStr">
        <is>
          <t>HOA (annual, what it covers)</t>
        </is>
      </c>
      <c r="B11" s="16" t="inlineStr">
        <is>
          <t>None</t>
        </is>
      </c>
      <c r="C11" s="17" t="n"/>
      <c r="D11" s="17" t="n"/>
      <c r="E11" s="2" t="inlineStr">
        <is>
          <t>MLS sheet / CAD / FEMA / lender / insurer / buyer</t>
        </is>
      </c>
    </row>
    <row r="12">
      <c r="A12" s="1" t="inlineStr">
        <is>
          <t>Occupancy: vacant / tenant / lease end / rent (signed vs collected)</t>
        </is>
      </c>
      <c r="B12" s="16" t="inlineStr">
        <is>
          <t>Vacant / — / — / none</t>
        </is>
      </c>
      <c r="C12" s="17" t="n"/>
      <c r="D12" s="17" t="n"/>
      <c r="E12" s="2" t="inlineStr">
        <is>
          <t>MLS sheet / CAD / FEMA / lender / insurer / buyer</t>
        </is>
      </c>
    </row>
    <row r="13">
      <c r="A13" s="1" t="inlineStr">
        <is>
          <t>Acceptable financing (per listing)</t>
        </is>
      </c>
      <c r="B13" s="16" t="inlineStr">
        <is>
          <t>Cash, Conv, FHA, VA</t>
        </is>
      </c>
      <c r="C13" s="17" t="n"/>
      <c r="D13" s="17" t="n"/>
      <c r="E13" s="2" t="inlineStr">
        <is>
          <t>MLS sheet / CAD / FEMA / lender / insurer / buyer</t>
        </is>
      </c>
    </row>
    <row r="14">
      <c r="A14" s="1" t="inlineStr">
        <is>
          <t>Condition notes / known repairs / as-is</t>
        </is>
      </c>
      <c r="B14" s="16" t="inlineStr">
        <is>
          <t>AS-IS; light TLC; lender repairs on buyer</t>
        </is>
      </c>
      <c r="C14" s="17" t="n"/>
      <c r="D14" s="17" t="n"/>
      <c r="E14" s="2" t="inlineStr">
        <is>
          <t>MLS sheet / CAD / FEMA / lender / insurer / buyer</t>
        </is>
      </c>
    </row>
    <row r="15">
      <c r="A15" s="1" t="inlineStr">
        <is>
          <t>Documents on file (SD, survey, leases, inspection)</t>
        </is>
      </c>
      <c r="B15" s="16" t="inlineStr">
        <is>
          <t>Seller's Disclosure</t>
        </is>
      </c>
      <c r="C15" s="17" t="n"/>
      <c r="D15" s="17" t="n"/>
      <c r="E15" s="2" t="inlineStr">
        <is>
          <t>MLS sheet / CAD / FEMA / lender / insurer / buyer</t>
        </is>
      </c>
    </row>
    <row r="16">
      <c r="A16" s="1" t="inlineStr">
        <is>
          <t>Taxes: annual, rate, tax year, exemptions in place</t>
        </is>
      </c>
      <c r="B16" s="16" t="inlineStr">
        <is>
          <t>$4,761 / 2.03 / 2026 / Homestead (seller)</t>
        </is>
      </c>
      <c r="C16" s="17" t="n"/>
      <c r="D16" s="17" t="n"/>
      <c r="E16" s="2" t="inlineStr">
        <is>
          <t>MLS sheet / CAD / FEMA / lender / insurer / buyer</t>
        </is>
      </c>
    </row>
    <row r="17">
      <c r="A17" s="1" t="inlineStr">
        <is>
          <t>Insurance quote (homeowners / flood)</t>
        </is>
      </c>
      <c r="B17" s="16" t="inlineStr">
        <is>
          <t>not obtained</t>
        </is>
      </c>
      <c r="C17" s="17" t="n"/>
      <c r="D17" s="17" t="n"/>
      <c r="E17" s="2" t="inlineStr">
        <is>
          <t>MLS sheet / CAD / FEMA / lender / insurer / buyer</t>
        </is>
      </c>
    </row>
    <row r="18">
      <c r="A18" s="1" t="inlineStr">
        <is>
          <t>Flood zone (FEMA NFHL) + Res Flooded field</t>
        </is>
      </c>
      <c r="B18" s="16" t="inlineStr">
        <is>
          <t>Zone X (NFHL 2026-10-01) / No</t>
        </is>
      </c>
      <c r="C18" s="17" t="n"/>
      <c r="D18" s="17" t="n"/>
      <c r="E18" s="2" t="inlineStr">
        <is>
          <t>MLS sheet / CAD / FEMA / lender / insurer / buyer</t>
        </is>
      </c>
    </row>
    <row r="19">
      <c r="A19" s="1" t="inlineStr">
        <is>
          <t>Utilities: water/sewer type, shared systems</t>
        </is>
      </c>
      <c r="B19" s="16" t="inlineStr">
        <is>
          <t>City water; 'On-Site Sewer' conflict</t>
        </is>
      </c>
      <c r="C19" s="17" t="n"/>
      <c r="D19" s="17" t="n"/>
      <c r="E19" s="2" t="inlineStr">
        <is>
          <t>MLS sheet / CAD / FEMA / lender / insurer / buyer</t>
        </is>
      </c>
    </row>
    <row r="20">
      <c r="A20" s="1" t="inlineStr">
        <is>
          <t>Deed restrictions / zoning / ETJ</t>
        </is>
      </c>
      <c r="B20" s="16" t="inlineStr">
        <is>
          <t>blank / ETJ No</t>
        </is>
      </c>
      <c r="C20" s="17" t="n"/>
      <c r="D20" s="17" t="n"/>
      <c r="E20" s="2" t="inlineStr">
        <is>
          <t>MLS sheet / CAD / FEMA / lender / insurer / buyer</t>
        </is>
      </c>
    </row>
    <row r="21">
      <c r="A21" s="1" t="inlineStr">
        <is>
          <t>Commute: buyer's destination + measured drive (date/time)</t>
        </is>
      </c>
      <c r="B21" s="16" t="inlineStr">
        <is>
          <t>not provided</t>
        </is>
      </c>
      <c r="C21" s="17" t="n"/>
      <c r="D21" s="17" t="n"/>
      <c r="E21" s="2" t="inlineStr">
        <is>
          <t>MLS sheet / CAD / FEMA / lender / insurer / buyer</t>
        </is>
      </c>
    </row>
    <row r="22">
      <c r="A22" s="1" t="inlineStr">
        <is>
          <t>Seller concession field</t>
        </is>
      </c>
      <c r="B22" s="16" t="inlineStr">
        <is>
          <t>blank</t>
        </is>
      </c>
      <c r="C22" s="17" t="n"/>
      <c r="D22" s="17" t="n"/>
      <c r="E22" s="2" t="inlineStr">
        <is>
          <t>MLS sheet / CAD / FEMA / lender / insurer / buyer</t>
        </is>
      </c>
    </row>
    <row r="23">
      <c r="A23" s="1" t="inlineStr">
        <is>
          <t>Owner of record type (individual / trust / estate)</t>
        </is>
      </c>
      <c r="B23" s="16" t="inlineStr">
        <is>
          <t>Individual</t>
        </is>
      </c>
      <c r="C23" s="17" t="n"/>
      <c r="D23" s="17" t="n"/>
      <c r="E23" s="2" t="inlineStr">
        <is>
          <t>MLS sheet / CAD / FEMA / lender / insurer / buyer</t>
        </is>
      </c>
    </row>
    <row r="24">
      <c r="A24" s="1" t="inlineStr">
        <is>
          <t>Showing constraints</t>
        </is>
      </c>
      <c r="B24" s="16" t="inlineStr">
        <is>
          <t>Call first-go</t>
        </is>
      </c>
      <c r="C24" s="17" t="n"/>
      <c r="D24" s="17" t="n"/>
      <c r="E24" s="2" t="inlineStr">
        <is>
          <t>MLS sheet / CAD / FEMA / lender / insurer / buyer</t>
        </is>
      </c>
    </row>
    <row r="25">
      <c r="A25" s="1" t="inlineStr">
        <is>
          <t>Fit with buyer must-haves</t>
        </is>
      </c>
      <c r="B25" s="16" t="inlineStr">
        <is>
          <t>unknown (no profile)</t>
        </is>
      </c>
      <c r="C25" s="17" t="n"/>
      <c r="D25" s="17" t="n"/>
      <c r="E25" s="2" t="inlineStr">
        <is>
          <t>MLS sheet / CAD / FEMA / lender / insurer / buyer</t>
        </is>
      </c>
    </row>
    <row r="26">
      <c r="A26" s="1" t="inlineStr">
        <is>
          <t>Top trade-offs</t>
        </is>
      </c>
      <c r="B26" s="16" t="inlineStr">
        <is>
          <t>Smaller 2/1 units; as-is</t>
        </is>
      </c>
      <c r="C26" s="17" t="n"/>
      <c r="D26" s="17" t="n"/>
      <c r="E26" s="2" t="inlineStr">
        <is>
          <t>MLS sheet / CAD / FEMA / lender / insurer / buyer</t>
        </is>
      </c>
    </row>
    <row r="27">
      <c r="A27" s="1" t="inlineStr">
        <is>
          <t>Missing / must verify before offer</t>
        </is>
      </c>
      <c r="B27" s="16" t="inlineStr">
        <is>
          <t>CAD value, insurance, sewer type, SD</t>
        </is>
      </c>
      <c r="C27" s="17" t="n"/>
      <c r="D27" s="17" t="n"/>
      <c r="E27" s="2" t="inlineStr">
        <is>
          <t>MLS sheet / CAD / FEMA / lender / insurer / buyer</t>
        </is>
      </c>
    </row>
    <row r="29">
      <c r="A29" s="2" t="inlineStr">
        <is>
          <t>Column B shows an example row (Littleleaf) in the expected format; replace it. Minimum inputs before a comparison is decision-grade: buyer decision + must-haves + budget + timeline + destination; MLS sheet per property; CAD record; lender scenario; insurance quote; leases if occupied.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8" customWidth="1" min="1" max="1"/>
    <col width="60" customWidth="1" min="2" max="2"/>
    <col width="40" customWidth="1" min="3" max="3"/>
    <col width="16" customWidth="1" min="4" max="4"/>
    <col width="30" customWidth="1" min="5" max="5"/>
    <col width="30" customWidth="1" min="6" max="6"/>
  </cols>
  <sheetData>
    <row r="1">
      <c r="A1" s="1" t="inlineStr">
        <is>
          <t>SOURCE LEDGER — material claims, source, date, location, evidence status</t>
        </is>
      </c>
    </row>
    <row r="3">
      <c r="A3" s="3" t="inlineStr">
        <is>
          <t>ID</t>
        </is>
      </c>
      <c r="B3" s="3" t="inlineStr">
        <is>
          <t>Claim</t>
        </is>
      </c>
      <c r="C3" s="3" t="inlineStr">
        <is>
          <t>Source</t>
        </is>
      </c>
      <c r="D3" s="3" t="inlineStr">
        <is>
          <t>Source date</t>
        </is>
      </c>
      <c r="E3" s="3" t="inlineStr">
        <is>
          <t>Location in source</t>
        </is>
      </c>
      <c r="F3" s="3" t="inlineStr">
        <is>
          <t>Evidence status</t>
        </is>
      </c>
    </row>
    <row r="4">
      <c r="A4" s="6" t="inlineStr">
        <is>
          <t>S1</t>
        </is>
      </c>
      <c r="B4" s="6" t="inlineStr">
        <is>
          <t>3604 Littleleaf: Active, $245,000, 1,943 sf (Appraisal District), 2003, duplex 2/1 each, vacant, AS-IS, FHA/VA accepted, tax $4,761 @2.03 (2026), Homestead exemption, FEMA plain No</t>
        </is>
      </c>
      <c r="C4" s="6" t="inlineStr">
        <is>
          <t>MLS 360 Property View, MLS 624332 (printed by Taylor Dasch)</t>
        </is>
      </c>
      <c r="D4" s="6" t="inlineStr">
        <is>
          <t>2026-10-01</t>
        </is>
      </c>
      <c r="E4" s="6" t="inlineStr">
        <is>
          <t>Header; Beds/Baths table; Tax block; Agent Only Remarks</t>
        </is>
      </c>
      <c r="F4" s="6" t="inlineStr">
        <is>
          <t>MLS-reported; not independently verified</t>
        </is>
      </c>
    </row>
    <row r="5">
      <c r="A5" s="6" t="inlineStr">
        <is>
          <t>S2</t>
        </is>
      </c>
      <c r="B5" s="6" t="inlineStr">
        <is>
          <t>2201 Westcliff: Active, $260,000, 1,974 sf (Appraisal District), 1999, 2/1 each with garage, 0.823 ac, one side MTM $895, tenant pays all bills, Cash/Conventional only, tax $5,207 @2.03 (2026), FEMA plain Partial, Res Flooded Unknown, 1 heat/1 AC/1 water heater</t>
        </is>
      </c>
      <c r="C5" s="6" t="inlineStr">
        <is>
          <t>MLS 360 Property View, MLS 625203</t>
        </is>
      </c>
      <c r="D5" s="6" t="inlineStr">
        <is>
          <t>2026-10-01</t>
        </is>
      </c>
      <c r="E5" s="6" t="inlineStr">
        <is>
          <t>Header; lot block; rent table; Tax block; Amenities</t>
        </is>
      </c>
      <c r="F5" s="6" t="inlineStr">
        <is>
          <t>MLS-reported; lease on file not read</t>
        </is>
      </c>
    </row>
    <row r="6">
      <c r="A6" s="6" t="inlineStr">
        <is>
          <t>S3</t>
        </is>
      </c>
      <c r="B6" s="6" t="inlineStr">
        <is>
          <t>2409 Patrick Henry: Active, $219,000, 2,142 sf (Appraisal District), 1981, 2/2 each, carport, one unit leased to 02/28/2027 at $995, other vacant pro forma $995, Side B HVAC 2025, Cash/Conventional only, tax amount blank @2.39 (2025), seller may consider concession, owner irrevocable trust, SD + survey on file</t>
        </is>
      </c>
      <c r="C6" s="6" t="inlineStr">
        <is>
          <t>MLS 360 Property View, MLS 621224</t>
        </is>
      </c>
      <c r="D6" s="6" t="inlineStr">
        <is>
          <t>2026-10-01</t>
        </is>
      </c>
      <c r="E6" s="6" t="inlineStr">
        <is>
          <t>Header; rent table; Public Remarks; Tax block; Documents on File</t>
        </is>
      </c>
      <c r="F6" s="6" t="inlineStr">
        <is>
          <t>MLS-reported; SD/survey not read</t>
        </is>
      </c>
    </row>
    <row r="7">
      <c r="A7" s="6" t="inlineStr">
        <is>
          <t>S4</t>
        </is>
      </c>
      <c r="B7" s="6" t="inlineStr">
        <is>
          <t>Killeen duplex sales and actives (Hitchrock, Westwood, Alma, Edgefield, Dustin, Vernice, Uvalde, Littleleaf)</t>
        </is>
      </c>
      <c r="C7" s="6" t="inlineStr">
        <is>
          <t>MLS CSV export 'claude-os-data_33.csv' supplied by Taylor</t>
        </is>
      </c>
      <c r="D7" s="6" t="inlineStr">
        <is>
          <t>2026-10-01 (export date not stamped; latest close 09/21/2026)</t>
        </is>
      </c>
      <c r="E7" s="6" t="inlineStr">
        <is>
          <t>Rows 2–14</t>
        </is>
      </c>
      <c r="F7" s="6" t="inlineStr">
        <is>
          <t>MLS-reported; configurations differ from subject</t>
        </is>
      </c>
    </row>
    <row r="8">
      <c r="A8" s="6" t="inlineStr">
        <is>
          <t>S5</t>
        </is>
      </c>
      <c r="B8" s="6" t="inlineStr">
        <is>
          <t>Westcliff-area actives and closed small multifamily (Wright Way, 2410 Westcliff, WS Young, Robert E Lee fourplex, Shoemaker)</t>
        </is>
      </c>
      <c r="C8" s="6" t="inlineStr">
        <is>
          <t>MLS CSV export 'claude-os-data_34.csv' supplied by Taylor</t>
        </is>
      </c>
      <c r="D8" s="6" t="inlineStr">
        <is>
          <t>2026-10-01 (export date not stamped; latest close 09/24/2026)</t>
        </is>
      </c>
      <c r="E8" s="6" t="inlineStr">
        <is>
          <t>Rows 2–7</t>
        </is>
      </c>
      <c r="F8" s="6" t="inlineStr">
        <is>
          <t>MLS-reported; weak comparability</t>
        </is>
      </c>
    </row>
    <row r="9">
      <c r="A9" s="6" t="inlineStr">
        <is>
          <t>S6</t>
        </is>
      </c>
      <c r="B9" s="6" t="inlineStr">
        <is>
          <t>Flood zones: Littleleaf and Patrick Henry sites Zone X minimal; Westcliff within 30 m of Zone AE, AE floodway, X 0.2%; panel 48027C0115E eff. 2008-09-26</t>
        </is>
      </c>
      <c r="C9" s="6" t="inlineStr">
        <is>
          <t>FEMA National Flood Hazard Layer REST service (hazards.fema.gov NFHL layers 28 and 3), points from U.S. Census geocoder</t>
        </is>
      </c>
      <c r="D9" s="6" t="inlineStr">
        <is>
          <t>2026-10-01</t>
        </is>
      </c>
      <c r="E9" s="6" t="inlineStr">
        <is>
          <t>Point/buffer queries (1–60 m)</t>
        </is>
      </c>
      <c r="F9" s="6" t="inlineStr">
        <is>
          <t>Official layer; point-level, not a flood determination or elevation certificate</t>
        </is>
      </c>
    </row>
    <row r="10">
      <c r="A10" s="6" t="inlineStr">
        <is>
          <t>S7</t>
        </is>
      </c>
      <c r="B10" s="6" t="inlineStr">
        <is>
          <t>Bell CAD appraised values, exemptions, jurisdictions</t>
        </is>
      </c>
      <c r="C10" s="6" t="inlineStr">
        <is>
          <t>esearch.bellcad.org</t>
        </is>
      </c>
      <c r="D10" s="6" t="inlineStr">
        <is>
          <t>2026-10-01</t>
        </is>
      </c>
      <c r="E10" s="6" t="inlineStr">
        <is>
          <t>—</t>
        </is>
      </c>
      <c r="F10" s="6" t="inlineStr">
        <is>
          <t>NOT RETRIEVED (HTTP 503 / certificate error); must be pulled by Taylor</t>
        </is>
      </c>
    </row>
    <row r="11">
      <c r="A11" s="6" t="inlineStr">
        <is>
          <t>S8</t>
        </is>
      </c>
      <c r="B11" s="6" t="inlineStr">
        <is>
          <t>30-yr fixed rate 6.71% (week of Sept 3, 2026)</t>
        </is>
      </c>
      <c r="C11" s="6" t="inlineStr">
        <is>
          <t>Freddie Mac PMMS</t>
        </is>
      </c>
      <c r="D11" s="6" t="inlineStr">
        <is>
          <t>2026-09-03 (latest located)</t>
        </is>
      </c>
      <c r="E11" s="6" t="inlineStr">
        <is>
          <t>Weekly release</t>
        </is>
      </c>
      <c r="F11" s="6" t="inlineStr">
        <is>
          <t>Illustrative only; not a borrower quote</t>
        </is>
      </c>
    </row>
    <row r="12">
      <c r="A12" s="6" t="inlineStr">
        <is>
          <t>S9</t>
        </is>
      </c>
      <c r="B12" s="6" t="inlineStr">
        <is>
          <t>Fannie Mae 5% down on owner-occupied 2–4 unit; 25% typical for investment 2–4 unit; FHA/VA require owner occupancy on 2–4 units; 2026 FHA 2-unit limit Bell County $693,050 (secondary sources)</t>
        </is>
      </c>
      <c r="C12" s="6" t="inlineStr">
        <is>
          <t>Industry summaries of Fannie Mae policy (Nov 2023) and FHA 2026 limits</t>
        </is>
      </c>
      <c r="D12" s="6" t="inlineStr">
        <is>
          <t>2026-10-01 retrieval</t>
        </is>
      </c>
      <c r="E12" s="6" t="inlineStr">
        <is>
          <t>—</t>
        </is>
      </c>
      <c r="F12" s="6" t="inlineStr">
        <is>
          <t>Secondary; lender must confirm</t>
        </is>
      </c>
    </row>
    <row r="13">
      <c r="A13" s="6" t="inlineStr">
        <is>
          <t>S10</t>
        </is>
      </c>
      <c r="B13" s="6" t="inlineStr">
        <is>
          <t>Texas homestead exemption applies only to the owner-occupied portion of a duplex</t>
        </is>
      </c>
      <c r="C13" s="6" t="inlineStr">
        <is>
          <t>Texas Tax Code §11.13 as summarized in secondary sources</t>
        </is>
      </c>
      <c r="D13" s="6" t="inlineStr">
        <is>
          <t>2026-10-01 retrieval</t>
        </is>
      </c>
      <c r="E13" s="6" t="inlineStr">
        <is>
          <t>—</t>
        </is>
      </c>
      <c r="F13" s="6" t="inlineStr">
        <is>
          <t>Secondary; Bell CAD to confirm treatment</t>
        </is>
      </c>
    </row>
    <row r="14">
      <c r="A14" s="6" t="inlineStr">
        <is>
          <t>S11</t>
        </is>
      </c>
      <c r="B14" s="6" t="inlineStr">
        <is>
          <t>Buyer decision, must-haves, budget, timeline, commute destination, lender scenario, insurance quotes, inspection reports, seller disclosures, leases</t>
        </is>
      </c>
      <c r="C14" s="6" t="inlineStr">
        <is>
          <t>Not supplied</t>
        </is>
      </c>
      <c r="D14" s="6" t="inlineStr">
        <is>
          <t>—</t>
        </is>
      </c>
      <c r="E14" s="6" t="inlineStr">
        <is>
          <t>—</t>
        </is>
      </c>
      <c r="F14" s="6" t="inlineStr">
        <is>
          <t>MISSING — fit rankings provisional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6" customWidth="1" min="1" max="1"/>
    <col width="24" customWidth="1" min="2" max="2"/>
    <col width="50" customWidth="1" min="3" max="3"/>
    <col width="24" customWidth="1" min="4" max="4"/>
    <col width="40" customWidth="1" min="5" max="5"/>
    <col width="40" customWidth="1" min="6" max="6"/>
    <col width="40" customWidth="1" min="7" max="7"/>
  </cols>
  <sheetData>
    <row r="1">
      <c r="A1" s="1" t="inlineStr">
        <is>
          <t>PRIORITIZED CALL-QUESTION SHEET (deal-stoppers first)</t>
        </is>
      </c>
    </row>
    <row r="3">
      <c r="A3" s="3" t="inlineStr">
        <is>
          <t>#</t>
        </is>
      </c>
      <c r="B3" s="3" t="inlineStr">
        <is>
          <t>Property</t>
        </is>
      </c>
      <c r="C3" s="3" t="inlineStr">
        <is>
          <t>Question (plain language)</t>
        </is>
      </c>
      <c r="D3" s="3" t="inlineStr">
        <is>
          <t>Who answers</t>
        </is>
      </c>
      <c r="E3" s="3" t="inlineStr">
        <is>
          <t>Why it matters</t>
        </is>
      </c>
      <c r="F3" s="3" t="inlineStr">
        <is>
          <t>Evidence to request</t>
        </is>
      </c>
      <c r="G3" s="3" t="inlineStr">
        <is>
          <t>Decision that changes</t>
        </is>
      </c>
    </row>
    <row r="4">
      <c r="A4" s="6" t="n">
        <v>1</v>
      </c>
      <c r="B4" s="6" t="inlineStr">
        <is>
          <t>2201 Westcliff</t>
        </is>
      </c>
      <c r="C4" s="6" t="inlineStr">
        <is>
          <t>Is any part of the building (not just the lot) inside the FEMA Special Flood Hazard Area or floodway, and has it ever flooded?</t>
        </is>
      </c>
      <c r="D4" s="6" t="inlineStr">
        <is>
          <t>Listing agent → seller; surveyor/elevation certificate; insurer</t>
        </is>
      </c>
      <c r="E4" s="6" t="inlineStr">
        <is>
          <t>Lender flood insurance requirement, insurability, resale; MLS says plain Partial, Res Flooded Unknown</t>
        </is>
      </c>
      <c r="F4" s="6" t="inlineStr">
        <is>
          <t>Flood determination from lender, elevation certificate if any, seller's disclosure flood section, NFIP claims history</t>
        </is>
      </c>
      <c r="G4" s="6" t="inlineStr">
        <is>
          <t>Deal-stopper if structure is in AE/floodway with no affordable coverage</t>
        </is>
      </c>
    </row>
    <row r="5">
      <c r="A5" s="6" t="n">
        <v>2</v>
      </c>
      <c r="B5" s="6" t="inlineStr">
        <is>
          <t>2201 Westcliff + 2409 Patrick Henry</t>
        </is>
      </c>
      <c r="C5" s="6" t="inlineStr">
        <is>
          <t>Will the seller consider FHA or VA financing, or is Cash/Conventional truly the only acceptable financing?</t>
        </is>
      </c>
      <c r="D5" s="6" t="inlineStr">
        <is>
          <t>Listing agent</t>
        </is>
      </c>
      <c r="E5" s="6" t="inlineStr">
        <is>
          <t>Both listings state Cash, Conventional only; determines whether a low-down owner-occupant can buy</t>
        </is>
      </c>
      <c r="F5" s="6" t="inlineStr">
        <is>
          <t>Written confirmation; if conventional only, lender pre-approval for 5% down 2-unit</t>
        </is>
      </c>
      <c r="G5" s="6" t="inlineStr">
        <is>
          <t>Eliminates properties for an FHA/VA buyer</t>
        </is>
      </c>
    </row>
    <row r="6">
      <c r="A6" s="6" t="n">
        <v>3</v>
      </c>
      <c r="B6" s="6" t="inlineStr">
        <is>
          <t>3604 Littleleaf</t>
        </is>
      </c>
      <c r="C6" s="6" t="inlineStr">
        <is>
          <t>What repairs does 'light TLC' and 'AS-IS' cover, and will the seller allow an FHA/VA appraisal with buyer-paid repairs?</t>
        </is>
      </c>
      <c r="D6" s="6" t="inlineStr">
        <is>
          <t>Listing agent; inspector</t>
        </is>
      </c>
      <c r="E6" s="6" t="inlineStr">
        <is>
          <t>Lender-required repairs at buyer expense could add cash and delay closing</t>
        </is>
      </c>
      <c r="F6" s="6" t="inlineStr">
        <is>
          <t>Seller's disclosure (on file), inspection, photos of each unit, utility status</t>
        </is>
      </c>
      <c r="G6" s="6" t="inlineStr">
        <is>
          <t>Offer price, financing type, repair budget</t>
        </is>
      </c>
    </row>
    <row r="7">
      <c r="A7" s="6" t="n">
        <v>4</v>
      </c>
      <c r="B7" s="6" t="inlineStr">
        <is>
          <t>2409 Patrick Henry</t>
        </is>
      </c>
      <c r="C7" s="6" t="inlineStr">
        <is>
          <t>Who signs for the irrevocable trust and does title have the trust instrument/certification?</t>
        </is>
      </c>
      <c r="D7" s="6" t="inlineStr">
        <is>
          <t>Title company; listing agent</t>
        </is>
      </c>
      <c r="E7" s="6" t="inlineStr">
        <is>
          <t>Authority to convey; closing timeline</t>
        </is>
      </c>
      <c r="F7" s="6" t="inlineStr">
        <is>
          <t>Certification of trust, trustee ID</t>
        </is>
      </c>
      <c r="G7" s="6" t="inlineStr">
        <is>
          <t>Timeline; contract validity</t>
        </is>
      </c>
    </row>
    <row r="8">
      <c r="A8" s="6" t="n">
        <v>5</v>
      </c>
      <c r="B8" s="6" t="inlineStr">
        <is>
          <t>All three</t>
        </is>
      </c>
      <c r="C8" s="6" t="inlineStr">
        <is>
          <t>What are the 2026 Bell CAD appraised values and which exemptions apply now; what will taxes be without the seller's exemption?</t>
        </is>
      </c>
      <c r="D8" s="6" t="inlineStr">
        <is>
          <t>Bell CAD / tax office; title (tax certificate)</t>
        </is>
      </c>
      <c r="E8" s="6" t="inlineStr">
        <is>
          <t>Littleleaf $4,761 includes a homestead; Patrick Henry amount blank; buyer treatment differs</t>
        </is>
      </c>
      <c r="F8" s="6" t="inlineStr">
        <is>
          <t>CAD record, tax certificate at title</t>
        </is>
      </c>
      <c r="G8" s="6" t="inlineStr">
        <is>
          <t>Monthly payment; affordability</t>
        </is>
      </c>
    </row>
    <row r="9">
      <c r="A9" s="6" t="n">
        <v>6</v>
      </c>
      <c r="B9" s="6" t="inlineStr">
        <is>
          <t>2201 Westcliff + 2409 Patrick Henry</t>
        </is>
      </c>
      <c r="C9" s="6" t="inlineStr">
        <is>
          <t>Lease terms for the occupied unit: rent, deposit held, lease end, late payments, who pays which utilities, any notice already given?</t>
        </is>
      </c>
      <c r="D9" s="6" t="inlineStr">
        <is>
          <t>Listing agent → seller/property manager</t>
        </is>
      </c>
      <c r="E9" s="6" t="inlineStr">
        <is>
          <t>Possession for an owner-occupant; income reliability</t>
        </is>
      </c>
      <c r="F9" s="6" t="inlineStr">
        <is>
          <t>Signed lease, rent ledger (12 months), deposit accounting, estoppel letter</t>
        </is>
      </c>
      <c r="G9" s="6" t="inlineStr">
        <is>
          <t>Move-in timing; which unit; cash flow</t>
        </is>
      </c>
    </row>
    <row r="10">
      <c r="A10" s="6" t="n">
        <v>7</v>
      </c>
      <c r="B10" s="6" t="inlineStr">
        <is>
          <t>2201 Westcliff</t>
        </is>
      </c>
      <c r="C10" s="6" t="inlineStr">
        <is>
          <t>Are heating, cooling, water heater and utility meters separate for each unit (MLS lists 1 unit each)?</t>
        </is>
      </c>
      <c r="D10" s="6" t="inlineStr">
        <is>
          <t>Listing agent; inspector; utility provider</t>
        </is>
      </c>
      <c r="E10" s="6" t="inlineStr">
        <is>
          <t>Shared systems complicate tenant billing and comfort; MLS says tenant pays all bills</t>
        </is>
      </c>
      <c r="F10" s="6" t="inlineStr">
        <is>
          <t>Meter numbers per unit, HVAC inspection</t>
        </is>
      </c>
      <c r="G10" s="6" t="inlineStr">
        <is>
          <t>Operating cost and rentability</t>
        </is>
      </c>
    </row>
    <row r="11">
      <c r="A11" s="6" t="n">
        <v>8</v>
      </c>
      <c r="B11" s="6" t="inlineStr">
        <is>
          <t>3604 Littleleaf</t>
        </is>
      </c>
      <c r="C11" s="6" t="inlineStr">
        <is>
          <t>Is the property on city sewer or an on-site septic system (MLS lists both 'City on Property' and 'On-Site Sewer')?</t>
        </is>
      </c>
      <c r="D11" s="6" t="inlineStr">
        <is>
          <t>City of Killeen utilities; seller; inspector</t>
        </is>
      </c>
      <c r="E11" s="6" t="inlineStr">
        <is>
          <t>Septic inspection, permits, replacement cost</t>
        </is>
      </c>
      <c r="F11" s="6" t="inlineStr">
        <is>
          <t>Utility account history, septic permit/inspection</t>
        </is>
      </c>
      <c r="G11" s="6" t="inlineStr">
        <is>
          <t>Inspection scope; cost</t>
        </is>
      </c>
    </row>
    <row r="12">
      <c r="A12" s="6" t="n">
        <v>9</v>
      </c>
      <c r="B12" s="6" t="inlineStr">
        <is>
          <t>All three</t>
        </is>
      </c>
      <c r="C12" s="6" t="inlineStr">
        <is>
          <t>Homeowners (and flood where applicable) insurance quotes for a duplex of this age/roof</t>
        </is>
      </c>
      <c r="D12" s="6" t="inlineStr">
        <is>
          <t>Insurer</t>
        </is>
      </c>
      <c r="E12" s="6" t="inlineStr">
        <is>
          <t>Insurance is a placeholder in every scenario</t>
        </is>
      </c>
      <c r="F12" s="6" t="inlineStr">
        <is>
          <t>Bound quote per address; roof age; 4-point if required</t>
        </is>
      </c>
      <c r="G12" s="6" t="inlineStr">
        <is>
          <t>Monthly payment; lender approval</t>
        </is>
      </c>
    </row>
    <row r="13">
      <c r="A13" s="6" t="n">
        <v>10</v>
      </c>
      <c r="B13" s="6" t="inlineStr">
        <is>
          <t>2201 Westcliff</t>
        </is>
      </c>
      <c r="C13" s="6" t="inlineStr">
        <is>
          <t>Why does the sheet show In City Limits Yes and ETJ Yes, and 'Gated Community Yes'? What is the zoning and any deed restriction on the 0.823-acre lot?</t>
        </is>
      </c>
      <c r="D13" s="6" t="inlineStr">
        <is>
          <t>Listing agent; City of Killeen planning; title</t>
        </is>
      </c>
      <c r="E13" s="6" t="inlineStr">
        <is>
          <t>Jurisdiction affects permits, taxes, services; large lot may be partly unusable floodway</t>
        </is>
      </c>
      <c r="F13" s="6" t="inlineStr">
        <is>
          <t>Zoning letter, title commitment Schedule B, plat</t>
        </is>
      </c>
      <c r="G13" s="6" t="inlineStr">
        <is>
          <t>Use of lot; future value</t>
        </is>
      </c>
    </row>
    <row r="14">
      <c r="A14" s="6" t="n">
        <v>11</v>
      </c>
      <c r="B14" s="6" t="inlineStr">
        <is>
          <t>All three</t>
        </is>
      </c>
      <c r="C14" s="6" t="inlineStr">
        <is>
          <t>Will the seller contribute to closing costs, and what concession terms have they accepted before?</t>
        </is>
      </c>
      <c r="D14" s="6" t="inlineStr">
        <is>
          <t>Listing agent</t>
        </is>
      </c>
      <c r="E14" s="6" t="inlineStr">
        <is>
          <t>Patrick Henry marked 'Yes'; others blank</t>
        </is>
      </c>
      <c r="F14" s="6" t="inlineStr">
        <is>
          <t>Written response; contract addendum</t>
        </is>
      </c>
      <c r="G14" s="6" t="inlineStr">
        <is>
          <t>Cash to close</t>
        </is>
      </c>
    </row>
    <row r="15">
      <c r="A15" s="6" t="n">
        <v>12</v>
      </c>
      <c r="B15" s="6" t="inlineStr">
        <is>
          <t>All three</t>
        </is>
      </c>
      <c r="C15" s="6" t="inlineStr">
        <is>
          <t>Roof age, HVAC age (except Patrick Henry Side B 2025), water heater age, plumbing type, any insurance claims</t>
        </is>
      </c>
      <c r="D15" s="6" t="inlineStr">
        <is>
          <t>Seller's disclosure; inspector</t>
        </is>
      </c>
      <c r="E15" s="6" t="inlineStr">
        <is>
          <t>Near-term capital costs on 1981–2003 buildings</t>
        </is>
      </c>
      <c r="F15" s="6" t="inlineStr">
        <is>
          <t>Seller's disclosure, receipts, inspection</t>
        </is>
      </c>
      <c r="G15" s="6" t="inlineStr">
        <is>
          <t>Maintenance allowance; offer</t>
        </is>
      </c>
    </row>
    <row r="16">
      <c r="A16" s="6" t="n">
        <v>13</v>
      </c>
      <c r="B16" s="6" t="inlineStr">
        <is>
          <t>Buyer</t>
        </is>
      </c>
      <c r="C16" s="6" t="inlineStr">
        <is>
          <t>Which unit will you occupy, by when, and what is your actual commute destination and schedule?</t>
        </is>
      </c>
      <c r="D16" s="6" t="inlineStr">
        <is>
          <t>Buyer</t>
        </is>
      </c>
      <c r="E16" s="6" t="inlineStr">
        <is>
          <t>Occupancy drives financing, taxes (homestead on occupied unit only) and possession timing</t>
        </is>
      </c>
      <c r="F16" s="6" t="inlineStr">
        <is>
          <t>Buyer profile</t>
        </is>
      </c>
      <c r="G16" s="6" t="inlineStr">
        <is>
          <t>Fit ranking; scenario choice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2026-10-01T19:39:21Z</dcterms:created>
  <dcterms:modified xsi:type="dcterms:W3CDTF">2026-10-01T19:39:21Z</dcterms:modified>
</cp:coreProperties>
</file>